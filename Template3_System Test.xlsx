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596" tabRatio="821" firstSheet="0" activeTab="3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Auth_Public" sheetId="4" state="visible" r:id="rId4"/>
    <sheet xmlns:r="http://schemas.openxmlformats.org/officeDocument/2006/relationships" name="Student" sheetId="5" state="visible" r:id="rId5"/>
    <sheet xmlns:r="http://schemas.openxmlformats.org/officeDocument/2006/relationships" name="Staff" sheetId="6" state="visible" r:id="rId6"/>
    <sheet xmlns:r="http://schemas.openxmlformats.org/officeDocument/2006/relationships" name="Manager" sheetId="7" state="visible" r:id="rId7"/>
    <sheet xmlns:r="http://schemas.openxmlformats.org/officeDocument/2006/relationships" name="Admin" sheetId="8" state="visible" r:id="rId8"/>
    <sheet xmlns:r="http://schemas.openxmlformats.org/officeDocument/2006/relationships" name="CrossRole_Security" sheetId="9" state="visible" r:id="rId9"/>
    <sheet xmlns:r="http://schemas.openxmlformats.org/officeDocument/2006/relationships" name="Traceability" sheetId="10" state="visible" r:id="rId10"/>
    <sheet xmlns:r="http://schemas.openxmlformats.org/officeDocument/2006/relationships" name="Execution Results" sheetId="11" state="visible" r:id="rId11"/>
  </sheets>
  <definedNames>
    <definedName name="ACTION">#REF!</definedName>
    <definedName name="ACTION" localSheetId="0">#REF!</definedName>
    <definedName name="_xlnm._FilterDatabase" localSheetId="3" hidden="1">'Auth_Public'!$A$10:$O$39</definedName>
    <definedName name="_xlnm.Print_Titles" localSheetId="3">'Auth_Public'!$1:$10</definedName>
    <definedName name="_xlnm._FilterDatabase" localSheetId="4" hidden="1">'Student'!$A$10:$O$73</definedName>
    <definedName name="_xlnm.Print_Titles" localSheetId="4">'Student'!$1:$10</definedName>
    <definedName name="_xlnm._FilterDatabase" localSheetId="5" hidden="1">'Staff'!$A$10:$O$51</definedName>
    <definedName name="_xlnm.Print_Titles" localSheetId="5">'Staff'!$1:$10</definedName>
    <definedName name="_xlnm._FilterDatabase" localSheetId="6" hidden="1">'Manager'!$A$10:$O$32</definedName>
    <definedName name="_xlnm.Print_Titles" localSheetId="6">'Manager'!$1:$10</definedName>
    <definedName name="_xlnm._FilterDatabase" localSheetId="7" hidden="1">'Admin'!$A$10:$O$35</definedName>
    <definedName name="_xlnm.Print_Titles" localSheetId="7">'Admin'!$1:$10</definedName>
    <definedName name="_xlnm._FilterDatabase" localSheetId="8" hidden="1">'CrossRole_Security'!$A$10:$O$47</definedName>
    <definedName name="_xlnm.Print_Titles" localSheetId="8">'CrossRole_Security'!$1:$10</definedName>
    <definedName name="_xlnm._FilterDatabase" localSheetId="9" hidden="1">'Traceability'!$A$3:$E$48</definedName>
    <definedName name="_xlnm._FilterDatabase" localSheetId="10" hidden="1">'Execution Results'!$A$3:$D$13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d\-mmm\-yy;@"/>
    <numFmt numFmtId="165" formatCode="yyyy-mm-dd"/>
    <numFmt numFmtId="166" formatCode="dd/mm/yyyy"/>
  </numFmts>
  <fonts count="27">
    <font>
      <name val="ＭＳ Ｐゴシック"/>
      <charset val="128"/>
      <sz val="11"/>
    </font>
    <font>
      <name val="ＭＳ ゴシック"/>
      <charset val="128"/>
      <family val="3"/>
      <sz val="9"/>
    </font>
    <font>
      <name val="Tahoma"/>
      <family val="2"/>
      <sz val="10"/>
    </font>
    <font>
      <name val="Tahoma"/>
      <family val="2"/>
      <b val="1"/>
      <color indexed="10"/>
      <sz val="26"/>
    </font>
    <font>
      <name val="Tahoma"/>
      <family val="2"/>
      <b val="1"/>
      <color indexed="8"/>
      <sz val="20"/>
    </font>
    <font>
      <name val="Tahoma"/>
      <family val="2"/>
      <b val="1"/>
      <color indexed="60"/>
      <sz val="10"/>
    </font>
    <font>
      <name val="Tahoma"/>
      <family val="2"/>
      <i val="1"/>
      <color indexed="17"/>
      <sz val="10"/>
    </font>
    <font>
      <name val="Tahoma"/>
      <family val="2"/>
      <b val="1"/>
      <color indexed="9"/>
      <sz val="10"/>
    </font>
    <font>
      <name val="Tahoma"/>
      <family val="2"/>
      <b val="1"/>
      <color indexed="8"/>
      <sz val="10"/>
    </font>
    <font>
      <name val="Tahoma"/>
      <family val="2"/>
      <b val="1"/>
      <color indexed="10"/>
      <sz val="10"/>
    </font>
    <font>
      <name val="Tahoma"/>
      <family val="2"/>
      <b val="1"/>
      <sz val="10"/>
    </font>
    <font>
      <name val="Tahoma"/>
      <family val="2"/>
      <color indexed="12"/>
      <sz val="10"/>
      <u val="single"/>
    </font>
    <font>
      <name val="ＭＳ Ｐゴシック"/>
      <charset val="128"/>
      <family val="3"/>
      <color indexed="12"/>
      <sz val="11"/>
      <u val="single"/>
    </font>
    <font>
      <name val="Tahoma"/>
      <family val="2"/>
      <color indexed="10"/>
      <sz val="10"/>
    </font>
    <font>
      <name val="Tahoma"/>
      <family val="2"/>
      <color indexed="8"/>
      <sz val="10"/>
    </font>
    <font>
      <name val="Tahoma"/>
      <family val="2"/>
      <color indexed="9"/>
      <sz val="10"/>
    </font>
    <font>
      <name val="Tahoma"/>
      <family val="2"/>
      <b val="1"/>
      <color indexed="12"/>
      <sz val="10"/>
    </font>
    <font>
      <name val="ＭＳ Ｐゴシック"/>
      <charset val="128"/>
      <family val="2"/>
      <sz val="11"/>
    </font>
    <font>
      <name val="Tahoma"/>
      <family val="2"/>
      <b val="1"/>
      <i val="1"/>
      <sz val="10"/>
    </font>
    <font>
      <name val="Tahoma"/>
      <family val="2"/>
      <color rgb="FF000000"/>
      <sz val="8"/>
    </font>
    <font>
      <name val="ＭＳ Ｐゴシック"/>
      <charset val="128"/>
      <family val="3"/>
      <sz val="11"/>
    </font>
    <font>
      <name val="Tahoma"/>
      <family val="2"/>
      <i val="1"/>
      <sz val="10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  <font>
      <b val="1"/>
      <color rgb="00FFFFFF"/>
    </font>
    <font>
      <b val="1"/>
      <color rgb="00FFFFFF"/>
      <sz val="18"/>
    </font>
    <font>
      <b val="1"/>
    </font>
  </fonts>
  <fills count="14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  <fill>
      <patternFill patternType="solid">
        <fgColor rgb="005B5FC7"/>
      </patternFill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3F6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4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6">
    <xf numFmtId="0" fontId="0" fillId="0" borderId="0"/>
    <xf numFmtId="0" fontId="12" fillId="0" borderId="0"/>
    <xf numFmtId="0" fontId="17" fillId="0" borderId="0"/>
    <xf numFmtId="0" fontId="17" fillId="0" borderId="0"/>
    <xf numFmtId="0" fontId="1" fillId="0" borderId="0"/>
    <xf numFmtId="0" fontId="20" fillId="0" borderId="0"/>
  </cellStyleXfs>
  <cellXfs count="174">
    <xf numFmtId="0" fontId="0" fillId="0" borderId="0" pivotButton="0" quotePrefix="0" xfId="0"/>
    <xf numFmtId="0" fontId="2" fillId="2" borderId="0" pivotButton="0" quotePrefix="0" xfId="0"/>
    <xf numFmtId="0" fontId="5" fillId="2" borderId="1" applyAlignment="1" pivotButton="0" quotePrefix="0" xfId="0">
      <alignment horizontal="left" vertical="center"/>
    </xf>
    <xf numFmtId="1" fontId="2" fillId="2" borderId="0" pivotButton="0" quotePrefix="0" xfId="0"/>
    <xf numFmtId="0" fontId="2" fillId="2" borderId="0" applyAlignment="1" pivotButton="0" quotePrefix="0" xfId="0">
      <alignment horizontal="left"/>
    </xf>
    <xf numFmtId="1" fontId="2" fillId="2" borderId="0" applyProtection="1" pivotButton="0" quotePrefix="0" xfId="0">
      <protection locked="1" hidden="1"/>
    </xf>
    <xf numFmtId="0" fontId="4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9" fillId="2" borderId="0" applyAlignment="1" pivotButton="0" quotePrefix="0" xfId="0">
      <alignment horizontal="left"/>
    </xf>
    <xf numFmtId="0" fontId="2" fillId="2" borderId="0" applyAlignment="1" pivotButton="0" quotePrefix="0" xfId="0">
      <alignment wrapText="1"/>
    </xf>
    <xf numFmtId="1" fontId="5" fillId="2" borderId="0" pivotButton="0" quotePrefix="0" xfId="0"/>
    <xf numFmtId="0" fontId="2" fillId="2" borderId="0" applyAlignment="1" pivotButton="0" quotePrefix="0" xfId="0">
      <alignment vertical="center"/>
    </xf>
    <xf numFmtId="1" fontId="2" fillId="2" borderId="0" applyAlignment="1" applyProtection="1" pivotButton="0" quotePrefix="0" xfId="0">
      <alignment vertical="center"/>
      <protection locked="1" hidden="1"/>
    </xf>
    <xf numFmtId="0" fontId="2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/>
    </xf>
    <xf numFmtId="1" fontId="7" fillId="4" borderId="3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1" fontId="2" fillId="2" borderId="6" applyAlignment="1" pivotButton="0" quotePrefix="0" xfId="0">
      <alignment vertical="center"/>
    </xf>
    <xf numFmtId="49" fontId="2" fillId="2" borderId="7" applyAlignment="1" pivotButton="0" quotePrefix="0" xfId="0">
      <alignment horizontal="left" vertical="center"/>
    </xf>
    <xf numFmtId="0" fontId="11" fillId="2" borderId="7" applyAlignment="1" pivotButton="0" quotePrefix="0" xfId="1">
      <alignment horizontal="left" vertical="center"/>
    </xf>
    <xf numFmtId="0" fontId="2" fillId="2" borderId="8" applyAlignment="1" pivotButton="0" quotePrefix="0" xfId="0">
      <alignment horizontal="left" vertical="center"/>
    </xf>
    <xf numFmtId="0" fontId="2" fillId="2" borderId="7" applyAlignment="1" pivotButton="0" quotePrefix="0" xfId="0">
      <alignment horizontal="left" vertical="center"/>
    </xf>
    <xf numFmtId="1" fontId="2" fillId="2" borderId="9" applyAlignment="1" pivotButton="0" quotePrefix="0" xfId="0">
      <alignment vertical="center"/>
    </xf>
    <xf numFmtId="49" fontId="2" fillId="2" borderId="10" applyAlignment="1" pivotButton="0" quotePrefix="0" xfId="0">
      <alignment horizontal="left" vertical="center"/>
    </xf>
    <xf numFmtId="0" fontId="2" fillId="2" borderId="10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3" fillId="2" borderId="0" pivotButton="0" quotePrefix="0" xfId="0"/>
    <xf numFmtId="0" fontId="13" fillId="2" borderId="0" applyAlignment="1" pivotButton="0" quotePrefix="0" xfId="0">
      <alignment wrapText="1"/>
    </xf>
    <xf numFmtId="0" fontId="14" fillId="2" borderId="0" pivotButton="0" quotePrefix="0" xfId="0"/>
    <xf numFmtId="0" fontId="2" fillId="2" borderId="0" applyAlignment="1" pivotButton="0" quotePrefix="0" xfId="0">
      <alignment horizontal="center" wrapText="1"/>
    </xf>
    <xf numFmtId="0" fontId="13" fillId="2" borderId="0" applyAlignment="1" pivotButton="0" quotePrefix="0" xfId="0">
      <alignment horizontal="center" wrapText="1"/>
    </xf>
    <xf numFmtId="0" fontId="14" fillId="2" borderId="0" applyAlignment="1" pivotButton="0" quotePrefix="0" xfId="0">
      <alignment horizontal="center" wrapText="1"/>
    </xf>
    <xf numFmtId="0" fontId="9" fillId="2" borderId="0" applyAlignment="1" pivotButton="0" quotePrefix="0" xfId="3">
      <alignment horizontal="center" vertical="center" wrapText="1"/>
    </xf>
    <xf numFmtId="0" fontId="10" fillId="5" borderId="13" applyAlignment="1" pivotButton="0" quotePrefix="0" xfId="3">
      <alignment horizontal="left" vertical="center"/>
    </xf>
    <xf numFmtId="0" fontId="10" fillId="5" borderId="14" applyAlignment="1" pivotButton="0" quotePrefix="0" xfId="3">
      <alignment horizontal="left" vertical="center"/>
    </xf>
    <xf numFmtId="0" fontId="10" fillId="5" borderId="2" applyAlignment="1" pivotButton="0" quotePrefix="0" xfId="3">
      <alignment horizontal="left" vertical="center"/>
    </xf>
    <xf numFmtId="0" fontId="9" fillId="2" borderId="0" applyAlignment="1" pivotButton="0" quotePrefix="0" xfId="3">
      <alignment horizontal="left" vertical="center"/>
    </xf>
    <xf numFmtId="0" fontId="2" fillId="2" borderId="1" applyAlignment="1" pivotButton="0" quotePrefix="0" xfId="3">
      <alignment vertical="top" wrapText="1"/>
    </xf>
    <xf numFmtId="0" fontId="6" fillId="2" borderId="1" applyAlignment="1" pivotButton="0" quotePrefix="0" xfId="3">
      <alignment vertical="top" wrapText="1"/>
    </xf>
    <xf numFmtId="0" fontId="6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vertical="top" wrapText="1"/>
    </xf>
    <xf numFmtId="0" fontId="13" fillId="2" borderId="0" applyAlignment="1" pivotButton="0" quotePrefix="0" xfId="0">
      <alignment vertical="top" wrapText="1"/>
    </xf>
    <xf numFmtId="0" fontId="14" fillId="2" borderId="0" applyAlignment="1" pivotButton="0" quotePrefix="0" xfId="0">
      <alignment vertical="top"/>
    </xf>
    <xf numFmtId="0" fontId="14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10" fillId="2" borderId="0" pivotButton="0" quotePrefix="0" xfId="2"/>
    <xf numFmtId="0" fontId="2" fillId="2" borderId="0" pivotButton="0" quotePrefix="0" xfId="2"/>
    <xf numFmtId="164" fontId="2" fillId="2" borderId="0" pivotButton="0" quotePrefix="0" xfId="2"/>
    <xf numFmtId="0" fontId="5" fillId="2" borderId="2" applyAlignment="1" pivotButton="0" quotePrefix="0" xfId="0">
      <alignment horizontal="left"/>
    </xf>
    <xf numFmtId="0" fontId="2" fillId="2" borderId="2" applyAlignment="1" pivotButton="0" quotePrefix="0" xfId="0">
      <alignment vertical="top"/>
    </xf>
    <xf numFmtId="0" fontId="5" fillId="2" borderId="1" applyAlignment="1" pivotButton="0" quotePrefix="0" xfId="0">
      <alignment vertical="center"/>
    </xf>
    <xf numFmtId="0" fontId="6" fillId="2" borderId="2" applyAlignment="1" pivotButton="0" quotePrefix="0" xfId="0">
      <alignment vertical="top"/>
    </xf>
    <xf numFmtId="0" fontId="5" fillId="2" borderId="0" pivotButton="0" quotePrefix="0" xfId="0"/>
    <xf numFmtId="0" fontId="6" fillId="2" borderId="0" pivotButton="0" quotePrefix="0" xfId="2"/>
    <xf numFmtId="0" fontId="2" fillId="2" borderId="15" pivotButton="0" quotePrefix="0" xfId="0"/>
    <xf numFmtId="0" fontId="7" fillId="3" borderId="16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4" applyAlignment="1" pivotButton="0" quotePrefix="0" xfId="0">
      <alignment horizontal="center" wrapText="1"/>
    </xf>
    <xf numFmtId="0" fontId="7" fillId="3" borderId="12" applyAlignment="1" pivotButton="0" quotePrefix="0" xfId="0">
      <alignment horizontal="center"/>
    </xf>
    <xf numFmtId="0" fontId="7" fillId="3" borderId="17" applyAlignment="1" pivotButton="0" quotePrefix="0" xfId="0">
      <alignment horizontal="center" wrapText="1"/>
    </xf>
    <xf numFmtId="0" fontId="2" fillId="2" borderId="18" applyAlignment="1" pivotButton="0" quotePrefix="0" xfId="0">
      <alignment horizontal="center"/>
    </xf>
    <xf numFmtId="0" fontId="2" fillId="2" borderId="7" pivotButton="0" quotePrefix="0" xfId="0"/>
    <xf numFmtId="0" fontId="2" fillId="2" borderId="7" applyAlignment="1" pivotButton="0" quotePrefix="0" xfId="0">
      <alignment horizontal="center"/>
    </xf>
    <xf numFmtId="0" fontId="2" fillId="2" borderId="19" applyAlignment="1" pivotButton="0" quotePrefix="0" xfId="0">
      <alignment horizontal="center"/>
    </xf>
    <xf numFmtId="0" fontId="2" fillId="2" borderId="20" applyAlignment="1" pivotButton="0" quotePrefix="0" xfId="0">
      <alignment horizontal="center"/>
    </xf>
    <xf numFmtId="0" fontId="15" fillId="3" borderId="21" applyAlignment="1" pivotButton="0" quotePrefix="0" xfId="0">
      <alignment horizontal="center"/>
    </xf>
    <xf numFmtId="0" fontId="7" fillId="3" borderId="10" pivotButton="0" quotePrefix="0" xfId="0"/>
    <xf numFmtId="0" fontId="15" fillId="3" borderId="10" applyAlignment="1" pivotButton="0" quotePrefix="0" xfId="0">
      <alignment horizontal="center"/>
    </xf>
    <xf numFmtId="0" fontId="15" fillId="3" borderId="2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2" fillId="2" borderId="0" applyAlignment="1" pivotButton="0" quotePrefix="0" xfId="0">
      <alignment horizontal="center"/>
    </xf>
    <xf numFmtId="9" fontId="2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2" fontId="16" fillId="2" borderId="0" applyAlignment="1" pivotButton="0" quotePrefix="0" xfId="0">
      <alignment horizontal="right" wrapText="1"/>
    </xf>
    <xf numFmtId="0" fontId="6" fillId="2" borderId="0" applyAlignment="1" pivotButton="0" quotePrefix="0" xfId="3">
      <alignment horizontal="left" wrapText="1"/>
    </xf>
    <xf numFmtId="0" fontId="8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0" fillId="5" borderId="23" applyAlignment="1" pivotButton="0" quotePrefix="0" xfId="3">
      <alignment horizontal="left" vertical="center"/>
    </xf>
    <xf numFmtId="0" fontId="10" fillId="5" borderId="24" applyAlignment="1" pivotButton="0" quotePrefix="0" xfId="3">
      <alignment horizontal="left" vertical="center"/>
    </xf>
    <xf numFmtId="0" fontId="10" fillId="5" borderId="25" applyAlignment="1" pivotButton="0" quotePrefix="0" xfId="3">
      <alignment horizontal="left" vertical="center"/>
    </xf>
    <xf numFmtId="0" fontId="6" fillId="2" borderId="0" applyAlignment="1" pivotButton="0" quotePrefix="0" xfId="3">
      <alignment wrapText="1"/>
    </xf>
    <xf numFmtId="0" fontId="7" fillId="6" borderId="26" applyAlignment="1" pivotButton="0" quotePrefix="0" xfId="3">
      <alignment horizontal="center" vertical="center" wrapText="1"/>
    </xf>
    <xf numFmtId="0" fontId="18" fillId="2" borderId="26" applyAlignment="1" pivotButton="0" quotePrefix="0" xfId="3">
      <alignment horizontal="center" vertical="top" wrapText="1"/>
    </xf>
    <xf numFmtId="0" fontId="2" fillId="2" borderId="26" applyAlignment="1" pivotButton="0" quotePrefix="0" xfId="3">
      <alignment horizontal="center" vertical="top" wrapText="1"/>
    </xf>
    <xf numFmtId="0" fontId="18" fillId="2" borderId="30" applyAlignment="1" pivotButton="0" quotePrefix="0" xfId="3">
      <alignment horizontal="center" vertical="top" wrapText="1"/>
    </xf>
    <xf numFmtId="0" fontId="18" fillId="2" borderId="31" applyAlignment="1" pivotButton="0" quotePrefix="0" xfId="3">
      <alignment horizontal="center" vertical="top" wrapText="1"/>
    </xf>
    <xf numFmtId="0" fontId="18" fillId="2" borderId="32" applyAlignment="1" pivotButton="0" quotePrefix="0" xfId="3">
      <alignment horizontal="center" vertical="top" wrapText="1"/>
    </xf>
    <xf numFmtId="0" fontId="2" fillId="2" borderId="33" applyAlignment="1" pivotButton="0" quotePrefix="0" xfId="3">
      <alignment horizontal="center" vertical="top" wrapText="1"/>
    </xf>
    <xf numFmtId="0" fontId="2" fillId="2" borderId="34" applyAlignment="1" pivotButton="0" quotePrefix="0" xfId="3">
      <alignment horizontal="center" vertical="top" wrapText="1"/>
    </xf>
    <xf numFmtId="0" fontId="2" fillId="2" borderId="31" applyAlignment="1" pivotButton="0" quotePrefix="0" xfId="3">
      <alignment horizontal="center" vertical="top" wrapText="1"/>
    </xf>
    <xf numFmtId="0" fontId="10" fillId="2" borderId="27" applyAlignment="1" pivotButton="0" quotePrefix="0" xfId="3">
      <alignment horizontal="center" vertical="top" wrapText="1"/>
    </xf>
    <xf numFmtId="0" fontId="10" fillId="2" borderId="30" applyAlignment="1" pivotButton="0" quotePrefix="0" xfId="3">
      <alignment horizontal="center" vertical="top" wrapText="1"/>
    </xf>
    <xf numFmtId="0" fontId="12" fillId="2" borderId="7" applyAlignment="1" pivotButton="0" quotePrefix="0" xfId="1">
      <alignment horizontal="left" vertical="center"/>
    </xf>
    <xf numFmtId="0" fontId="3" fillId="0" borderId="13" applyAlignment="1" pivotButton="0" quotePrefix="0" xfId="5">
      <alignment horizontal="center" vertical="center"/>
    </xf>
    <xf numFmtId="0" fontId="2" fillId="0" borderId="0" applyAlignment="1" pivotButton="0" quotePrefix="0" xfId="5">
      <alignment horizontal="center" vertical="center"/>
    </xf>
    <xf numFmtId="0" fontId="5" fillId="2" borderId="0" applyAlignment="1" pivotButton="0" quotePrefix="0" xfId="5">
      <alignment horizontal="left" indent="1"/>
    </xf>
    <xf numFmtId="0" fontId="6" fillId="0" borderId="0" applyAlignment="1" pivotButton="0" quotePrefix="0" xfId="5">
      <alignment horizontal="left" indent="1"/>
    </xf>
    <xf numFmtId="0" fontId="2" fillId="0" borderId="0" pivotButton="0" quotePrefix="0" xfId="5"/>
    <xf numFmtId="0" fontId="2" fillId="2" borderId="0" pivotButton="0" quotePrefix="0" xfId="5"/>
    <xf numFmtId="0" fontId="10" fillId="2" borderId="1" applyAlignment="1" pivotButton="0" quotePrefix="0" xfId="5">
      <alignment horizontal="left"/>
    </xf>
    <xf numFmtId="0" fontId="2" fillId="0" borderId="2" pivotButton="0" quotePrefix="0" xfId="5"/>
    <xf numFmtId="0" fontId="21" fillId="0" borderId="2" pivotButton="0" quotePrefix="0" xfId="5"/>
    <xf numFmtId="0" fontId="10" fillId="2" borderId="1" applyAlignment="1" pivotButton="0" quotePrefix="0" xfId="5">
      <alignment vertical="center"/>
    </xf>
    <xf numFmtId="0" fontId="21" fillId="0" borderId="2" applyAlignment="1" pivotButton="0" quotePrefix="0" xfId="5">
      <alignment horizontal="left" indent="1"/>
    </xf>
    <xf numFmtId="0" fontId="10" fillId="0" borderId="0" pivotButton="0" quotePrefix="0" xfId="5"/>
    <xf numFmtId="0" fontId="6" fillId="0" borderId="0" applyAlignment="1" pivotButton="0" quotePrefix="0" xfId="5">
      <alignment horizontal="left"/>
    </xf>
    <xf numFmtId="0" fontId="5" fillId="0" borderId="0" applyAlignment="1" pivotButton="0" quotePrefix="0" xfId="5">
      <alignment horizontal="left" indent="1"/>
    </xf>
    <xf numFmtId="0" fontId="10" fillId="0" borderId="0" applyAlignment="1" pivotButton="0" quotePrefix="0" xfId="5">
      <alignment horizontal="left"/>
    </xf>
    <xf numFmtId="164" fontId="7" fillId="3" borderId="3" applyAlignment="1" pivotButton="0" quotePrefix="0" xfId="5">
      <alignment horizontal="center" vertical="center"/>
    </xf>
    <xf numFmtId="0" fontId="7" fillId="3" borderId="4" applyAlignment="1" pivotButton="0" quotePrefix="0" xfId="5">
      <alignment horizontal="center" vertical="center"/>
    </xf>
    <xf numFmtId="0" fontId="7" fillId="3" borderId="5" applyAlignment="1" pivotButton="0" quotePrefix="0" xfId="5">
      <alignment horizontal="center" vertical="center"/>
    </xf>
    <xf numFmtId="0" fontId="2" fillId="0" borderId="0" applyAlignment="1" pivotButton="0" quotePrefix="0" xfId="5">
      <alignment vertical="center"/>
    </xf>
    <xf numFmtId="0" fontId="21" fillId="0" borderId="6" applyAlignment="1" pivotButton="0" quotePrefix="0" xfId="5">
      <alignment vertical="top" wrapText="1"/>
    </xf>
    <xf numFmtId="49" fontId="2" fillId="0" borderId="7" applyAlignment="1" pivotButton="0" quotePrefix="0" xfId="5">
      <alignment vertical="top"/>
    </xf>
    <xf numFmtId="0" fontId="2" fillId="0" borderId="7" applyAlignment="1" pivotButton="0" quotePrefix="0" xfId="5">
      <alignment vertical="top"/>
    </xf>
    <xf numFmtId="15" fontId="2" fillId="0" borderId="7" applyAlignment="1" pivotButton="0" quotePrefix="0" xfId="5">
      <alignment vertical="top"/>
    </xf>
    <xf numFmtId="0" fontId="21" fillId="0" borderId="8" applyAlignment="1" pivotButton="0" quotePrefix="0" xfId="5">
      <alignment vertical="top" wrapText="1"/>
    </xf>
    <xf numFmtId="0" fontId="2" fillId="0" borderId="0" applyAlignment="1" pivotButton="0" quotePrefix="0" xfId="5">
      <alignment vertical="top"/>
    </xf>
    <xf numFmtId="164" fontId="2" fillId="0" borderId="6" applyAlignment="1" pivotButton="0" quotePrefix="0" xfId="5">
      <alignment vertical="top"/>
    </xf>
    <xf numFmtId="0" fontId="2" fillId="0" borderId="8" applyAlignment="1" pivotButton="0" quotePrefix="0" xfId="5">
      <alignment vertical="top"/>
    </xf>
    <xf numFmtId="164" fontId="2" fillId="0" borderId="9" applyAlignment="1" pivotButton="0" quotePrefix="0" xfId="5">
      <alignment vertical="top"/>
    </xf>
    <xf numFmtId="49" fontId="2" fillId="0" borderId="10" applyAlignment="1" pivotButton="0" quotePrefix="0" xfId="5">
      <alignment vertical="top"/>
    </xf>
    <xf numFmtId="0" fontId="2" fillId="0" borderId="10" applyAlignment="1" pivotButton="0" quotePrefix="0" xfId="5">
      <alignment vertical="top"/>
    </xf>
    <xf numFmtId="0" fontId="2" fillId="0" borderId="11" applyAlignment="1" pivotButton="0" quotePrefix="0" xfId="5">
      <alignment vertical="top"/>
    </xf>
    <xf numFmtId="0" fontId="2" fillId="0" borderId="0" applyAlignment="1" pivotButton="0" quotePrefix="0" xfId="5">
      <alignment horizontal="left" indent="1"/>
    </xf>
    <xf numFmtId="0" fontId="4" fillId="0" borderId="1" applyAlignment="1" pivotButton="0" quotePrefix="0" xfId="5">
      <alignment horizontal="center" vertical="center"/>
    </xf>
    <xf numFmtId="0" fontId="21" fillId="0" borderId="1" applyAlignment="1" pivotButton="0" quotePrefix="0" xfId="5">
      <alignment horizontal="left"/>
    </xf>
    <xf numFmtId="0" fontId="21" fillId="0" borderId="13" applyAlignment="1" pivotButton="0" quotePrefix="0" xfId="5">
      <alignment horizontal="left" vertical="center"/>
    </xf>
    <xf numFmtId="0" fontId="21" fillId="0" borderId="14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 vertical="center"/>
    </xf>
    <xf numFmtId="1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top" wrapText="1"/>
    </xf>
    <xf numFmtId="1" fontId="5" fillId="2" borderId="13" pivotButton="0" quotePrefix="0" xfId="0"/>
    <xf numFmtId="0" fontId="6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6" fillId="2" borderId="1" applyAlignment="1" pivotButton="0" quotePrefix="0" xfId="2">
      <alignment vertical="top"/>
    </xf>
    <xf numFmtId="0" fontId="4" fillId="2" borderId="0" applyAlignment="1" pivotButton="0" quotePrefix="0" xfId="2">
      <alignment horizontal="center"/>
    </xf>
    <xf numFmtId="0" fontId="2" fillId="2" borderId="28" applyAlignment="1" pivotButton="0" quotePrefix="0" xfId="3">
      <alignment horizontal="left" vertical="top" wrapText="1"/>
    </xf>
    <xf numFmtId="0" fontId="2" fillId="2" borderId="29" applyAlignment="1" pivotButton="0" quotePrefix="0" xfId="3">
      <alignment horizontal="left" vertical="top" wrapText="1"/>
    </xf>
    <xf numFmtId="0" fontId="2" fillId="2" borderId="26" applyAlignment="1" pivotButton="0" quotePrefix="0" xfId="3">
      <alignment horizontal="left" vertical="top" wrapText="1"/>
    </xf>
    <xf numFmtId="0" fontId="2" fillId="2" borderId="31" applyAlignment="1" pivotButton="0" quotePrefix="0" xfId="3">
      <alignment horizontal="left" vertical="top" wrapText="1"/>
    </xf>
    <xf numFmtId="0" fontId="0" fillId="0" borderId="14" pivotButton="0" quotePrefix="0" xfId="0"/>
    <xf numFmtId="0" fontId="0" fillId="0" borderId="2" pivotButton="0" quotePrefix="0" xfId="0"/>
    <xf numFmtId="165" fontId="21" fillId="0" borderId="2" pivotButton="0" quotePrefix="0" xfId="5"/>
    <xf numFmtId="0" fontId="21" fillId="0" borderId="1" applyAlignment="1" pivotButton="0" quotePrefix="0" xfId="5">
      <alignment horizontal="left" vertical="center"/>
    </xf>
    <xf numFmtId="165" fontId="21" fillId="0" borderId="6" applyAlignment="1" pivotButton="0" quotePrefix="0" xfId="5">
      <alignment vertical="top" wrapText="1"/>
    </xf>
    <xf numFmtId="1" fontId="7" fillId="4" borderId="3" applyAlignment="1" pivotButton="0" quotePrefix="0" xfId="0">
      <alignment vertical="top" wrapText="1"/>
    </xf>
    <xf numFmtId="0" fontId="7" fillId="4" borderId="4" applyAlignment="1" pivotButton="0" quotePrefix="0" xfId="0">
      <alignment vertical="top" wrapText="1"/>
    </xf>
    <xf numFmtId="0" fontId="7" fillId="4" borderId="12" applyAlignment="1" pivotButton="0" quotePrefix="0" xfId="0">
      <alignment vertical="top" wrapText="1"/>
    </xf>
    <xf numFmtId="0" fontId="7" fillId="4" borderId="5" applyAlignment="1" pivotButton="0" quotePrefix="0" xfId="0">
      <alignment vertical="top" wrapText="1"/>
    </xf>
    <xf numFmtId="165" fontId="6" fillId="2" borderId="2" applyAlignment="1" pivotButton="0" quotePrefix="0" xfId="0">
      <alignment vertical="top"/>
    </xf>
    <xf numFmtId="0" fontId="0" fillId="0" borderId="39" pivotButton="0" quotePrefix="0" xfId="0"/>
    <xf numFmtId="0" fontId="0" fillId="0" borderId="40" pivotButton="0" quotePrefix="0" xfId="0"/>
    <xf numFmtId="0" fontId="0" fillId="0" borderId="43" pivotButton="0" quotePrefix="0" xfId="0"/>
    <xf numFmtId="0" fontId="0" fillId="0" borderId="44" pivotButton="0" quotePrefix="0" xfId="0"/>
    <xf numFmtId="0" fontId="24" fillId="7" borderId="23" applyAlignment="1" pivotButton="0" quotePrefix="0" xfId="3">
      <alignment horizontal="left" vertical="center"/>
    </xf>
    <xf numFmtId="0" fontId="10" fillId="8" borderId="23" applyAlignment="1" pivotButton="0" quotePrefix="0" xfId="3">
      <alignment horizontal="left" vertical="center"/>
    </xf>
    <xf numFmtId="0" fontId="10" fillId="8" borderId="24" applyAlignment="1" pivotButton="0" quotePrefix="0" xfId="3">
      <alignment horizontal="left" vertical="center"/>
    </xf>
    <xf numFmtId="0" fontId="10" fillId="8" borderId="25" applyAlignment="1" pivotButton="0" quotePrefix="0" xfId="3">
      <alignment horizontal="left" vertical="center"/>
    </xf>
    <xf numFmtId="0" fontId="25" fillId="9" borderId="0" applyAlignment="1" pivotButton="0" quotePrefix="0" xfId="0">
      <alignment horizontal="center" vertical="center"/>
    </xf>
    <xf numFmtId="0" fontId="24" fillId="7" borderId="45" applyAlignment="1" pivotButton="0" quotePrefix="0" xfId="0">
      <alignment horizontal="center" vertical="center" wrapText="1"/>
    </xf>
    <xf numFmtId="0" fontId="0" fillId="10" borderId="45" applyAlignment="1" pivotButton="0" quotePrefix="0" xfId="0">
      <alignment vertical="top" wrapText="1"/>
    </xf>
    <xf numFmtId="0" fontId="0" fillId="0" borderId="45" applyAlignment="1" pivotButton="0" quotePrefix="0" xfId="0">
      <alignment vertical="top" wrapText="1"/>
    </xf>
    <xf numFmtId="0" fontId="26" fillId="11" borderId="45" applyAlignment="1" pivotButton="0" quotePrefix="0" xfId="0">
      <alignment vertical="top" wrapText="1"/>
    </xf>
    <xf numFmtId="0" fontId="26" fillId="12" borderId="45" applyAlignment="1" pivotButton="0" quotePrefix="0" xfId="0">
      <alignment vertical="top" wrapText="1"/>
    </xf>
    <xf numFmtId="0" fontId="26" fillId="13" borderId="45" applyAlignment="1" pivotButton="0" quotePrefix="0" xfId="0">
      <alignment vertical="top" wrapText="1"/>
    </xf>
    <xf numFmtId="0" fontId="26" fillId="8" borderId="45" applyAlignment="1" pivotButton="0" quotePrefix="0" xfId="0">
      <alignment vertical="top" wrapText="1"/>
    </xf>
    <xf numFmtId="0" fontId="26" fillId="13" borderId="1" applyAlignment="1" pivotButton="0" quotePrefix="0" xfId="3">
      <alignment vertical="top" wrapText="1"/>
    </xf>
    <xf numFmtId="166" fontId="2" fillId="2" borderId="1" applyAlignment="1" pivotButton="0" quotePrefix="0" xfId="3">
      <alignment vertical="top" wrapText="1"/>
    </xf>
    <xf numFmtId="0" fontId="26" fillId="11" borderId="1" applyAlignment="1" pivotButton="0" quotePrefix="0" xfId="3">
      <alignment vertical="top" wrapText="1"/>
    </xf>
    <xf numFmtId="0" fontId="0" fillId="1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Hyperlink" xfId="1" builtinId="8"/>
    <cellStyle name="Normal_Functional Test Case v1.0" xfId="2"/>
    <cellStyle name="Normal_Sheet1" xfId="3"/>
    <cellStyle name="標準_結合試験(AllOvertheWorld)" xfId="4"/>
    <cellStyle name="Normal_Template_UnitTest Case_v0.9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 xml:space="preserve">*A: Add
  M: Modify
  D: Delete
</t>
      </text>
    </comment>
  </commentList>
</comments>
</file>

<file path=xl/comments/comment2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4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5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6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7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88900</rowOff>
    </from>
    <to>
      <col>0</col>
      <colOff>2009775</colOff>
      <row>1</row>
      <rowOff>756396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251386"/>
          <a:ext cx="2009775" cy="66749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0" zoomScale="85" zoomScaleNormal="85" workbookViewId="0">
      <selection activeCell="A1" sqref="A1"/>
    </sheetView>
  </sheetViews>
  <sheetFormatPr baseColWidth="8" defaultColWidth="9" defaultRowHeight="12.75"/>
  <cols>
    <col width="28.1328125" customWidth="1" style="126" min="1" max="1"/>
    <col width="10" customWidth="1" style="99" min="2" max="2"/>
    <col width="14.33203125" customWidth="1" style="99" min="3" max="3"/>
    <col width="8" customWidth="1" style="99" min="4" max="4"/>
    <col width="38" customWidth="1" style="99" min="5" max="5"/>
    <col width="48.1328125" customWidth="1" style="99" min="6" max="6"/>
    <col width="9" customWidth="1" style="99" min="7" max="256"/>
    <col width="28.1328125" customWidth="1" style="99" min="257" max="257"/>
    <col width="10" customWidth="1" style="99" min="258" max="258"/>
    <col width="14.33203125" customWidth="1" style="99" min="259" max="259"/>
    <col width="8" customWidth="1" style="99" min="260" max="260"/>
    <col width="38" customWidth="1" style="99" min="261" max="261"/>
    <col width="48.1328125" customWidth="1" style="99" min="262" max="262"/>
    <col width="9" customWidth="1" style="99" min="263" max="512"/>
    <col width="28.1328125" customWidth="1" style="99" min="513" max="513"/>
    <col width="10" customWidth="1" style="99" min="514" max="514"/>
    <col width="14.33203125" customWidth="1" style="99" min="515" max="515"/>
    <col width="8" customWidth="1" style="99" min="516" max="516"/>
    <col width="38" customWidth="1" style="99" min="517" max="517"/>
    <col width="48.1328125" customWidth="1" style="99" min="518" max="518"/>
    <col width="9" customWidth="1" style="99" min="519" max="768"/>
    <col width="28.1328125" customWidth="1" style="99" min="769" max="769"/>
    <col width="10" customWidth="1" style="99" min="770" max="770"/>
    <col width="14.33203125" customWidth="1" style="99" min="771" max="771"/>
    <col width="8" customWidth="1" style="99" min="772" max="772"/>
    <col width="38" customWidth="1" style="99" min="773" max="773"/>
    <col width="48.1328125" customWidth="1" style="99" min="774" max="774"/>
    <col width="9" customWidth="1" style="99" min="775" max="1024"/>
    <col width="28.1328125" customWidth="1" style="99" min="1025" max="1025"/>
    <col width="10" customWidth="1" style="99" min="1026" max="1026"/>
    <col width="14.33203125" customWidth="1" style="99" min="1027" max="1027"/>
    <col width="8" customWidth="1" style="99" min="1028" max="1028"/>
    <col width="38" customWidth="1" style="99" min="1029" max="1029"/>
    <col width="48.1328125" customWidth="1" style="99" min="1030" max="1030"/>
    <col width="9" customWidth="1" style="99" min="1031" max="1280"/>
    <col width="28.1328125" customWidth="1" style="99" min="1281" max="1281"/>
    <col width="10" customWidth="1" style="99" min="1282" max="1282"/>
    <col width="14.33203125" customWidth="1" style="99" min="1283" max="1283"/>
    <col width="8" customWidth="1" style="99" min="1284" max="1284"/>
    <col width="38" customWidth="1" style="99" min="1285" max="1285"/>
    <col width="48.1328125" customWidth="1" style="99" min="1286" max="1286"/>
    <col width="9" customWidth="1" style="99" min="1287" max="1536"/>
    <col width="28.1328125" customWidth="1" style="99" min="1537" max="1537"/>
    <col width="10" customWidth="1" style="99" min="1538" max="1538"/>
    <col width="14.33203125" customWidth="1" style="99" min="1539" max="1539"/>
    <col width="8" customWidth="1" style="99" min="1540" max="1540"/>
    <col width="38" customWidth="1" style="99" min="1541" max="1541"/>
    <col width="48.1328125" customWidth="1" style="99" min="1542" max="1542"/>
    <col width="9" customWidth="1" style="99" min="1543" max="1792"/>
    <col width="28.1328125" customWidth="1" style="99" min="1793" max="1793"/>
    <col width="10" customWidth="1" style="99" min="1794" max="1794"/>
    <col width="14.33203125" customWidth="1" style="99" min="1795" max="1795"/>
    <col width="8" customWidth="1" style="99" min="1796" max="1796"/>
    <col width="38" customWidth="1" style="99" min="1797" max="1797"/>
    <col width="48.1328125" customWidth="1" style="99" min="1798" max="1798"/>
    <col width="9" customWidth="1" style="99" min="1799" max="2048"/>
    <col width="28.1328125" customWidth="1" style="99" min="2049" max="2049"/>
    <col width="10" customWidth="1" style="99" min="2050" max="2050"/>
    <col width="14.33203125" customWidth="1" style="99" min="2051" max="2051"/>
    <col width="8" customWidth="1" style="99" min="2052" max="2052"/>
    <col width="38" customWidth="1" style="99" min="2053" max="2053"/>
    <col width="48.1328125" customWidth="1" style="99" min="2054" max="2054"/>
    <col width="9" customWidth="1" style="99" min="2055" max="2304"/>
    <col width="28.1328125" customWidth="1" style="99" min="2305" max="2305"/>
    <col width="10" customWidth="1" style="99" min="2306" max="2306"/>
    <col width="14.33203125" customWidth="1" style="99" min="2307" max="2307"/>
    <col width="8" customWidth="1" style="99" min="2308" max="2308"/>
    <col width="38" customWidth="1" style="99" min="2309" max="2309"/>
    <col width="48.1328125" customWidth="1" style="99" min="2310" max="2310"/>
    <col width="9" customWidth="1" style="99" min="2311" max="2560"/>
    <col width="28.1328125" customWidth="1" style="99" min="2561" max="2561"/>
    <col width="10" customWidth="1" style="99" min="2562" max="2562"/>
    <col width="14.33203125" customWidth="1" style="99" min="2563" max="2563"/>
    <col width="8" customWidth="1" style="99" min="2564" max="2564"/>
    <col width="38" customWidth="1" style="99" min="2565" max="2565"/>
    <col width="48.1328125" customWidth="1" style="99" min="2566" max="2566"/>
    <col width="9" customWidth="1" style="99" min="2567" max="2816"/>
    <col width="28.1328125" customWidth="1" style="99" min="2817" max="2817"/>
    <col width="10" customWidth="1" style="99" min="2818" max="2818"/>
    <col width="14.33203125" customWidth="1" style="99" min="2819" max="2819"/>
    <col width="8" customWidth="1" style="99" min="2820" max="2820"/>
    <col width="38" customWidth="1" style="99" min="2821" max="2821"/>
    <col width="48.1328125" customWidth="1" style="99" min="2822" max="2822"/>
    <col width="9" customWidth="1" style="99" min="2823" max="3072"/>
    <col width="28.1328125" customWidth="1" style="99" min="3073" max="3073"/>
    <col width="10" customWidth="1" style="99" min="3074" max="3074"/>
    <col width="14.33203125" customWidth="1" style="99" min="3075" max="3075"/>
    <col width="8" customWidth="1" style="99" min="3076" max="3076"/>
    <col width="38" customWidth="1" style="99" min="3077" max="3077"/>
    <col width="48.1328125" customWidth="1" style="99" min="3078" max="3078"/>
    <col width="9" customWidth="1" style="99" min="3079" max="3328"/>
    <col width="28.1328125" customWidth="1" style="99" min="3329" max="3329"/>
    <col width="10" customWidth="1" style="99" min="3330" max="3330"/>
    <col width="14.33203125" customWidth="1" style="99" min="3331" max="3331"/>
    <col width="8" customWidth="1" style="99" min="3332" max="3332"/>
    <col width="38" customWidth="1" style="99" min="3333" max="3333"/>
    <col width="48.1328125" customWidth="1" style="99" min="3334" max="3334"/>
    <col width="9" customWidth="1" style="99" min="3335" max="3584"/>
    <col width="28.1328125" customWidth="1" style="99" min="3585" max="3585"/>
    <col width="10" customWidth="1" style="99" min="3586" max="3586"/>
    <col width="14.33203125" customWidth="1" style="99" min="3587" max="3587"/>
    <col width="8" customWidth="1" style="99" min="3588" max="3588"/>
    <col width="38" customWidth="1" style="99" min="3589" max="3589"/>
    <col width="48.1328125" customWidth="1" style="99" min="3590" max="3590"/>
    <col width="9" customWidth="1" style="99" min="3591" max="3840"/>
    <col width="28.1328125" customWidth="1" style="99" min="3841" max="3841"/>
    <col width="10" customWidth="1" style="99" min="3842" max="3842"/>
    <col width="14.33203125" customWidth="1" style="99" min="3843" max="3843"/>
    <col width="8" customWidth="1" style="99" min="3844" max="3844"/>
    <col width="38" customWidth="1" style="99" min="3845" max="3845"/>
    <col width="48.1328125" customWidth="1" style="99" min="3846" max="3846"/>
    <col width="9" customWidth="1" style="99" min="3847" max="4096"/>
    <col width="28.1328125" customWidth="1" style="99" min="4097" max="4097"/>
    <col width="10" customWidth="1" style="99" min="4098" max="4098"/>
    <col width="14.33203125" customWidth="1" style="99" min="4099" max="4099"/>
    <col width="8" customWidth="1" style="99" min="4100" max="4100"/>
    <col width="38" customWidth="1" style="99" min="4101" max="4101"/>
    <col width="48.1328125" customWidth="1" style="99" min="4102" max="4102"/>
    <col width="9" customWidth="1" style="99" min="4103" max="4352"/>
    <col width="28.1328125" customWidth="1" style="99" min="4353" max="4353"/>
    <col width="10" customWidth="1" style="99" min="4354" max="4354"/>
    <col width="14.33203125" customWidth="1" style="99" min="4355" max="4355"/>
    <col width="8" customWidth="1" style="99" min="4356" max="4356"/>
    <col width="38" customWidth="1" style="99" min="4357" max="4357"/>
    <col width="48.1328125" customWidth="1" style="99" min="4358" max="4358"/>
    <col width="9" customWidth="1" style="99" min="4359" max="4608"/>
    <col width="28.1328125" customWidth="1" style="99" min="4609" max="4609"/>
    <col width="10" customWidth="1" style="99" min="4610" max="4610"/>
    <col width="14.33203125" customWidth="1" style="99" min="4611" max="4611"/>
    <col width="8" customWidth="1" style="99" min="4612" max="4612"/>
    <col width="38" customWidth="1" style="99" min="4613" max="4613"/>
    <col width="48.1328125" customWidth="1" style="99" min="4614" max="4614"/>
    <col width="9" customWidth="1" style="99" min="4615" max="4864"/>
    <col width="28.1328125" customWidth="1" style="99" min="4865" max="4865"/>
    <col width="10" customWidth="1" style="99" min="4866" max="4866"/>
    <col width="14.33203125" customWidth="1" style="99" min="4867" max="4867"/>
    <col width="8" customWidth="1" style="99" min="4868" max="4868"/>
    <col width="38" customWidth="1" style="99" min="4869" max="4869"/>
    <col width="48.1328125" customWidth="1" style="99" min="4870" max="4870"/>
    <col width="9" customWidth="1" style="99" min="4871" max="5120"/>
    <col width="28.1328125" customWidth="1" style="99" min="5121" max="5121"/>
    <col width="10" customWidth="1" style="99" min="5122" max="5122"/>
    <col width="14.33203125" customWidth="1" style="99" min="5123" max="5123"/>
    <col width="8" customWidth="1" style="99" min="5124" max="5124"/>
    <col width="38" customWidth="1" style="99" min="5125" max="5125"/>
    <col width="48.1328125" customWidth="1" style="99" min="5126" max="5126"/>
    <col width="9" customWidth="1" style="99" min="5127" max="5376"/>
    <col width="28.1328125" customWidth="1" style="99" min="5377" max="5377"/>
    <col width="10" customWidth="1" style="99" min="5378" max="5378"/>
    <col width="14.33203125" customWidth="1" style="99" min="5379" max="5379"/>
    <col width="8" customWidth="1" style="99" min="5380" max="5380"/>
    <col width="38" customWidth="1" style="99" min="5381" max="5381"/>
    <col width="48.1328125" customWidth="1" style="99" min="5382" max="5382"/>
    <col width="9" customWidth="1" style="99" min="5383" max="5632"/>
    <col width="28.1328125" customWidth="1" style="99" min="5633" max="5633"/>
    <col width="10" customWidth="1" style="99" min="5634" max="5634"/>
    <col width="14.33203125" customWidth="1" style="99" min="5635" max="5635"/>
    <col width="8" customWidth="1" style="99" min="5636" max="5636"/>
    <col width="38" customWidth="1" style="99" min="5637" max="5637"/>
    <col width="48.1328125" customWidth="1" style="99" min="5638" max="5638"/>
    <col width="9" customWidth="1" style="99" min="5639" max="5888"/>
    <col width="28.1328125" customWidth="1" style="99" min="5889" max="5889"/>
    <col width="10" customWidth="1" style="99" min="5890" max="5890"/>
    <col width="14.33203125" customWidth="1" style="99" min="5891" max="5891"/>
    <col width="8" customWidth="1" style="99" min="5892" max="5892"/>
    <col width="38" customWidth="1" style="99" min="5893" max="5893"/>
    <col width="48.1328125" customWidth="1" style="99" min="5894" max="5894"/>
    <col width="9" customWidth="1" style="99" min="5895" max="6144"/>
    <col width="28.1328125" customWidth="1" style="99" min="6145" max="6145"/>
    <col width="10" customWidth="1" style="99" min="6146" max="6146"/>
    <col width="14.33203125" customWidth="1" style="99" min="6147" max="6147"/>
    <col width="8" customWidth="1" style="99" min="6148" max="6148"/>
    <col width="38" customWidth="1" style="99" min="6149" max="6149"/>
    <col width="48.1328125" customWidth="1" style="99" min="6150" max="6150"/>
    <col width="9" customWidth="1" style="99" min="6151" max="6400"/>
    <col width="28.1328125" customWidth="1" style="99" min="6401" max="6401"/>
    <col width="10" customWidth="1" style="99" min="6402" max="6402"/>
    <col width="14.33203125" customWidth="1" style="99" min="6403" max="6403"/>
    <col width="8" customWidth="1" style="99" min="6404" max="6404"/>
    <col width="38" customWidth="1" style="99" min="6405" max="6405"/>
    <col width="48.1328125" customWidth="1" style="99" min="6406" max="6406"/>
    <col width="9" customWidth="1" style="99" min="6407" max="6656"/>
    <col width="28.1328125" customWidth="1" style="99" min="6657" max="6657"/>
    <col width="10" customWidth="1" style="99" min="6658" max="6658"/>
    <col width="14.33203125" customWidth="1" style="99" min="6659" max="6659"/>
    <col width="8" customWidth="1" style="99" min="6660" max="6660"/>
    <col width="38" customWidth="1" style="99" min="6661" max="6661"/>
    <col width="48.1328125" customWidth="1" style="99" min="6662" max="6662"/>
    <col width="9" customWidth="1" style="99" min="6663" max="6912"/>
    <col width="28.1328125" customWidth="1" style="99" min="6913" max="6913"/>
    <col width="10" customWidth="1" style="99" min="6914" max="6914"/>
    <col width="14.33203125" customWidth="1" style="99" min="6915" max="6915"/>
    <col width="8" customWidth="1" style="99" min="6916" max="6916"/>
    <col width="38" customWidth="1" style="99" min="6917" max="6917"/>
    <col width="48.1328125" customWidth="1" style="99" min="6918" max="6918"/>
    <col width="9" customWidth="1" style="99" min="6919" max="7168"/>
    <col width="28.1328125" customWidth="1" style="99" min="7169" max="7169"/>
    <col width="10" customWidth="1" style="99" min="7170" max="7170"/>
    <col width="14.33203125" customWidth="1" style="99" min="7171" max="7171"/>
    <col width="8" customWidth="1" style="99" min="7172" max="7172"/>
    <col width="38" customWidth="1" style="99" min="7173" max="7173"/>
    <col width="48.1328125" customWidth="1" style="99" min="7174" max="7174"/>
    <col width="9" customWidth="1" style="99" min="7175" max="7424"/>
    <col width="28.1328125" customWidth="1" style="99" min="7425" max="7425"/>
    <col width="10" customWidth="1" style="99" min="7426" max="7426"/>
    <col width="14.33203125" customWidth="1" style="99" min="7427" max="7427"/>
    <col width="8" customWidth="1" style="99" min="7428" max="7428"/>
    <col width="38" customWidth="1" style="99" min="7429" max="7429"/>
    <col width="48.1328125" customWidth="1" style="99" min="7430" max="7430"/>
    <col width="9" customWidth="1" style="99" min="7431" max="7680"/>
    <col width="28.1328125" customWidth="1" style="99" min="7681" max="7681"/>
    <col width="10" customWidth="1" style="99" min="7682" max="7682"/>
    <col width="14.33203125" customWidth="1" style="99" min="7683" max="7683"/>
    <col width="8" customWidth="1" style="99" min="7684" max="7684"/>
    <col width="38" customWidth="1" style="99" min="7685" max="7685"/>
    <col width="48.1328125" customWidth="1" style="99" min="7686" max="7686"/>
    <col width="9" customWidth="1" style="99" min="7687" max="7936"/>
    <col width="28.1328125" customWidth="1" style="99" min="7937" max="7937"/>
    <col width="10" customWidth="1" style="99" min="7938" max="7938"/>
    <col width="14.33203125" customWidth="1" style="99" min="7939" max="7939"/>
    <col width="8" customWidth="1" style="99" min="7940" max="7940"/>
    <col width="38" customWidth="1" style="99" min="7941" max="7941"/>
    <col width="48.1328125" customWidth="1" style="99" min="7942" max="7942"/>
    <col width="9" customWidth="1" style="99" min="7943" max="8192"/>
    <col width="28.1328125" customWidth="1" style="99" min="8193" max="8193"/>
    <col width="10" customWidth="1" style="99" min="8194" max="8194"/>
    <col width="14.33203125" customWidth="1" style="99" min="8195" max="8195"/>
    <col width="8" customWidth="1" style="99" min="8196" max="8196"/>
    <col width="38" customWidth="1" style="99" min="8197" max="8197"/>
    <col width="48.1328125" customWidth="1" style="99" min="8198" max="8198"/>
    <col width="9" customWidth="1" style="99" min="8199" max="8448"/>
    <col width="28.1328125" customWidth="1" style="99" min="8449" max="8449"/>
    <col width="10" customWidth="1" style="99" min="8450" max="8450"/>
    <col width="14.33203125" customWidth="1" style="99" min="8451" max="8451"/>
    <col width="8" customWidth="1" style="99" min="8452" max="8452"/>
    <col width="38" customWidth="1" style="99" min="8453" max="8453"/>
    <col width="48.1328125" customWidth="1" style="99" min="8454" max="8454"/>
    <col width="9" customWidth="1" style="99" min="8455" max="8704"/>
    <col width="28.1328125" customWidth="1" style="99" min="8705" max="8705"/>
    <col width="10" customWidth="1" style="99" min="8706" max="8706"/>
    <col width="14.33203125" customWidth="1" style="99" min="8707" max="8707"/>
    <col width="8" customWidth="1" style="99" min="8708" max="8708"/>
    <col width="38" customWidth="1" style="99" min="8709" max="8709"/>
    <col width="48.1328125" customWidth="1" style="99" min="8710" max="8710"/>
    <col width="9" customWidth="1" style="99" min="8711" max="8960"/>
    <col width="28.1328125" customWidth="1" style="99" min="8961" max="8961"/>
    <col width="10" customWidth="1" style="99" min="8962" max="8962"/>
    <col width="14.33203125" customWidth="1" style="99" min="8963" max="8963"/>
    <col width="8" customWidth="1" style="99" min="8964" max="8964"/>
    <col width="38" customWidth="1" style="99" min="8965" max="8965"/>
    <col width="48.1328125" customWidth="1" style="99" min="8966" max="8966"/>
    <col width="9" customWidth="1" style="99" min="8967" max="9216"/>
    <col width="28.1328125" customWidth="1" style="99" min="9217" max="9217"/>
    <col width="10" customWidth="1" style="99" min="9218" max="9218"/>
    <col width="14.33203125" customWidth="1" style="99" min="9219" max="9219"/>
    <col width="8" customWidth="1" style="99" min="9220" max="9220"/>
    <col width="38" customWidth="1" style="99" min="9221" max="9221"/>
    <col width="48.1328125" customWidth="1" style="99" min="9222" max="9222"/>
    <col width="9" customWidth="1" style="99" min="9223" max="9472"/>
    <col width="28.1328125" customWidth="1" style="99" min="9473" max="9473"/>
    <col width="10" customWidth="1" style="99" min="9474" max="9474"/>
    <col width="14.33203125" customWidth="1" style="99" min="9475" max="9475"/>
    <col width="8" customWidth="1" style="99" min="9476" max="9476"/>
    <col width="38" customWidth="1" style="99" min="9477" max="9477"/>
    <col width="48.1328125" customWidth="1" style="99" min="9478" max="9478"/>
    <col width="9" customWidth="1" style="99" min="9479" max="9728"/>
    <col width="28.1328125" customWidth="1" style="99" min="9729" max="9729"/>
    <col width="10" customWidth="1" style="99" min="9730" max="9730"/>
    <col width="14.33203125" customWidth="1" style="99" min="9731" max="9731"/>
    <col width="8" customWidth="1" style="99" min="9732" max="9732"/>
    <col width="38" customWidth="1" style="99" min="9733" max="9733"/>
    <col width="48.1328125" customWidth="1" style="99" min="9734" max="9734"/>
    <col width="9" customWidth="1" style="99" min="9735" max="9984"/>
    <col width="28.1328125" customWidth="1" style="99" min="9985" max="9985"/>
    <col width="10" customWidth="1" style="99" min="9986" max="9986"/>
    <col width="14.33203125" customWidth="1" style="99" min="9987" max="9987"/>
    <col width="8" customWidth="1" style="99" min="9988" max="9988"/>
    <col width="38" customWidth="1" style="99" min="9989" max="9989"/>
    <col width="48.1328125" customWidth="1" style="99" min="9990" max="9990"/>
    <col width="9" customWidth="1" style="99" min="9991" max="10240"/>
    <col width="28.1328125" customWidth="1" style="99" min="10241" max="10241"/>
    <col width="10" customWidth="1" style="99" min="10242" max="10242"/>
    <col width="14.33203125" customWidth="1" style="99" min="10243" max="10243"/>
    <col width="8" customWidth="1" style="99" min="10244" max="10244"/>
    <col width="38" customWidth="1" style="99" min="10245" max="10245"/>
    <col width="48.1328125" customWidth="1" style="99" min="10246" max="10246"/>
    <col width="9" customWidth="1" style="99" min="10247" max="10496"/>
    <col width="28.1328125" customWidth="1" style="99" min="10497" max="10497"/>
    <col width="10" customWidth="1" style="99" min="10498" max="10498"/>
    <col width="14.33203125" customWidth="1" style="99" min="10499" max="10499"/>
    <col width="8" customWidth="1" style="99" min="10500" max="10500"/>
    <col width="38" customWidth="1" style="99" min="10501" max="10501"/>
    <col width="48.1328125" customWidth="1" style="99" min="10502" max="10502"/>
    <col width="9" customWidth="1" style="99" min="10503" max="10752"/>
    <col width="28.1328125" customWidth="1" style="99" min="10753" max="10753"/>
    <col width="10" customWidth="1" style="99" min="10754" max="10754"/>
    <col width="14.33203125" customWidth="1" style="99" min="10755" max="10755"/>
    <col width="8" customWidth="1" style="99" min="10756" max="10756"/>
    <col width="38" customWidth="1" style="99" min="10757" max="10757"/>
    <col width="48.1328125" customWidth="1" style="99" min="10758" max="10758"/>
    <col width="9" customWidth="1" style="99" min="10759" max="11008"/>
    <col width="28.1328125" customWidth="1" style="99" min="11009" max="11009"/>
    <col width="10" customWidth="1" style="99" min="11010" max="11010"/>
    <col width="14.33203125" customWidth="1" style="99" min="11011" max="11011"/>
    <col width="8" customWidth="1" style="99" min="11012" max="11012"/>
    <col width="38" customWidth="1" style="99" min="11013" max="11013"/>
    <col width="48.1328125" customWidth="1" style="99" min="11014" max="11014"/>
    <col width="9" customWidth="1" style="99" min="11015" max="11264"/>
    <col width="28.1328125" customWidth="1" style="99" min="11265" max="11265"/>
    <col width="10" customWidth="1" style="99" min="11266" max="11266"/>
    <col width="14.33203125" customWidth="1" style="99" min="11267" max="11267"/>
    <col width="8" customWidth="1" style="99" min="11268" max="11268"/>
    <col width="38" customWidth="1" style="99" min="11269" max="11269"/>
    <col width="48.1328125" customWidth="1" style="99" min="11270" max="11270"/>
    <col width="9" customWidth="1" style="99" min="11271" max="11520"/>
    <col width="28.1328125" customWidth="1" style="99" min="11521" max="11521"/>
    <col width="10" customWidth="1" style="99" min="11522" max="11522"/>
    <col width="14.33203125" customWidth="1" style="99" min="11523" max="11523"/>
    <col width="8" customWidth="1" style="99" min="11524" max="11524"/>
    <col width="38" customWidth="1" style="99" min="11525" max="11525"/>
    <col width="48.1328125" customWidth="1" style="99" min="11526" max="11526"/>
    <col width="9" customWidth="1" style="99" min="11527" max="11776"/>
    <col width="28.1328125" customWidth="1" style="99" min="11777" max="11777"/>
    <col width="10" customWidth="1" style="99" min="11778" max="11778"/>
    <col width="14.33203125" customWidth="1" style="99" min="11779" max="11779"/>
    <col width="8" customWidth="1" style="99" min="11780" max="11780"/>
    <col width="38" customWidth="1" style="99" min="11781" max="11781"/>
    <col width="48.1328125" customWidth="1" style="99" min="11782" max="11782"/>
    <col width="9" customWidth="1" style="99" min="11783" max="12032"/>
    <col width="28.1328125" customWidth="1" style="99" min="12033" max="12033"/>
    <col width="10" customWidth="1" style="99" min="12034" max="12034"/>
    <col width="14.33203125" customWidth="1" style="99" min="12035" max="12035"/>
    <col width="8" customWidth="1" style="99" min="12036" max="12036"/>
    <col width="38" customWidth="1" style="99" min="12037" max="12037"/>
    <col width="48.1328125" customWidth="1" style="99" min="12038" max="12038"/>
    <col width="9" customWidth="1" style="99" min="12039" max="12288"/>
    <col width="28.1328125" customWidth="1" style="99" min="12289" max="12289"/>
    <col width="10" customWidth="1" style="99" min="12290" max="12290"/>
    <col width="14.33203125" customWidth="1" style="99" min="12291" max="12291"/>
    <col width="8" customWidth="1" style="99" min="12292" max="12292"/>
    <col width="38" customWidth="1" style="99" min="12293" max="12293"/>
    <col width="48.1328125" customWidth="1" style="99" min="12294" max="12294"/>
    <col width="9" customWidth="1" style="99" min="12295" max="12544"/>
    <col width="28.1328125" customWidth="1" style="99" min="12545" max="12545"/>
    <col width="10" customWidth="1" style="99" min="12546" max="12546"/>
    <col width="14.33203125" customWidth="1" style="99" min="12547" max="12547"/>
    <col width="8" customWidth="1" style="99" min="12548" max="12548"/>
    <col width="38" customWidth="1" style="99" min="12549" max="12549"/>
    <col width="48.1328125" customWidth="1" style="99" min="12550" max="12550"/>
    <col width="9" customWidth="1" style="99" min="12551" max="12800"/>
    <col width="28.1328125" customWidth="1" style="99" min="12801" max="12801"/>
    <col width="10" customWidth="1" style="99" min="12802" max="12802"/>
    <col width="14.33203125" customWidth="1" style="99" min="12803" max="12803"/>
    <col width="8" customWidth="1" style="99" min="12804" max="12804"/>
    <col width="38" customWidth="1" style="99" min="12805" max="12805"/>
    <col width="48.1328125" customWidth="1" style="99" min="12806" max="12806"/>
    <col width="9" customWidth="1" style="99" min="12807" max="13056"/>
    <col width="28.1328125" customWidth="1" style="99" min="13057" max="13057"/>
    <col width="10" customWidth="1" style="99" min="13058" max="13058"/>
    <col width="14.33203125" customWidth="1" style="99" min="13059" max="13059"/>
    <col width="8" customWidth="1" style="99" min="13060" max="13060"/>
    <col width="38" customWidth="1" style="99" min="13061" max="13061"/>
    <col width="48.1328125" customWidth="1" style="99" min="13062" max="13062"/>
    <col width="9" customWidth="1" style="99" min="13063" max="13312"/>
    <col width="28.1328125" customWidth="1" style="99" min="13313" max="13313"/>
    <col width="10" customWidth="1" style="99" min="13314" max="13314"/>
    <col width="14.33203125" customWidth="1" style="99" min="13315" max="13315"/>
    <col width="8" customWidth="1" style="99" min="13316" max="13316"/>
    <col width="38" customWidth="1" style="99" min="13317" max="13317"/>
    <col width="48.1328125" customWidth="1" style="99" min="13318" max="13318"/>
    <col width="9" customWidth="1" style="99" min="13319" max="13568"/>
    <col width="28.1328125" customWidth="1" style="99" min="13569" max="13569"/>
    <col width="10" customWidth="1" style="99" min="13570" max="13570"/>
    <col width="14.33203125" customWidth="1" style="99" min="13571" max="13571"/>
    <col width="8" customWidth="1" style="99" min="13572" max="13572"/>
    <col width="38" customWidth="1" style="99" min="13573" max="13573"/>
    <col width="48.1328125" customWidth="1" style="99" min="13574" max="13574"/>
    <col width="9" customWidth="1" style="99" min="13575" max="13824"/>
    <col width="28.1328125" customWidth="1" style="99" min="13825" max="13825"/>
    <col width="10" customWidth="1" style="99" min="13826" max="13826"/>
    <col width="14.33203125" customWidth="1" style="99" min="13827" max="13827"/>
    <col width="8" customWidth="1" style="99" min="13828" max="13828"/>
    <col width="38" customWidth="1" style="99" min="13829" max="13829"/>
    <col width="48.1328125" customWidth="1" style="99" min="13830" max="13830"/>
    <col width="9" customWidth="1" style="99" min="13831" max="14080"/>
    <col width="28.1328125" customWidth="1" style="99" min="14081" max="14081"/>
    <col width="10" customWidth="1" style="99" min="14082" max="14082"/>
    <col width="14.33203125" customWidth="1" style="99" min="14083" max="14083"/>
    <col width="8" customWidth="1" style="99" min="14084" max="14084"/>
    <col width="38" customWidth="1" style="99" min="14085" max="14085"/>
    <col width="48.1328125" customWidth="1" style="99" min="14086" max="14086"/>
    <col width="9" customWidth="1" style="99" min="14087" max="14336"/>
    <col width="28.1328125" customWidth="1" style="99" min="14337" max="14337"/>
    <col width="10" customWidth="1" style="99" min="14338" max="14338"/>
    <col width="14.33203125" customWidth="1" style="99" min="14339" max="14339"/>
    <col width="8" customWidth="1" style="99" min="14340" max="14340"/>
    <col width="38" customWidth="1" style="99" min="14341" max="14341"/>
    <col width="48.1328125" customWidth="1" style="99" min="14342" max="14342"/>
    <col width="9" customWidth="1" style="99" min="14343" max="14592"/>
    <col width="28.1328125" customWidth="1" style="99" min="14593" max="14593"/>
    <col width="10" customWidth="1" style="99" min="14594" max="14594"/>
    <col width="14.33203125" customWidth="1" style="99" min="14595" max="14595"/>
    <col width="8" customWidth="1" style="99" min="14596" max="14596"/>
    <col width="38" customWidth="1" style="99" min="14597" max="14597"/>
    <col width="48.1328125" customWidth="1" style="99" min="14598" max="14598"/>
    <col width="9" customWidth="1" style="99" min="14599" max="14848"/>
    <col width="28.1328125" customWidth="1" style="99" min="14849" max="14849"/>
    <col width="10" customWidth="1" style="99" min="14850" max="14850"/>
    <col width="14.33203125" customWidth="1" style="99" min="14851" max="14851"/>
    <col width="8" customWidth="1" style="99" min="14852" max="14852"/>
    <col width="38" customWidth="1" style="99" min="14853" max="14853"/>
    <col width="48.1328125" customWidth="1" style="99" min="14854" max="14854"/>
    <col width="9" customWidth="1" style="99" min="14855" max="15104"/>
    <col width="28.1328125" customWidth="1" style="99" min="15105" max="15105"/>
    <col width="10" customWidth="1" style="99" min="15106" max="15106"/>
    <col width="14.33203125" customWidth="1" style="99" min="15107" max="15107"/>
    <col width="8" customWidth="1" style="99" min="15108" max="15108"/>
    <col width="38" customWidth="1" style="99" min="15109" max="15109"/>
    <col width="48.1328125" customWidth="1" style="99" min="15110" max="15110"/>
    <col width="9" customWidth="1" style="99" min="15111" max="15360"/>
    <col width="28.1328125" customWidth="1" style="99" min="15361" max="15361"/>
    <col width="10" customWidth="1" style="99" min="15362" max="15362"/>
    <col width="14.33203125" customWidth="1" style="99" min="15363" max="15363"/>
    <col width="8" customWidth="1" style="99" min="15364" max="15364"/>
    <col width="38" customWidth="1" style="99" min="15365" max="15365"/>
    <col width="48.1328125" customWidth="1" style="99" min="15366" max="15366"/>
    <col width="9" customWidth="1" style="99" min="15367" max="15616"/>
    <col width="28.1328125" customWidth="1" style="99" min="15617" max="15617"/>
    <col width="10" customWidth="1" style="99" min="15618" max="15618"/>
    <col width="14.33203125" customWidth="1" style="99" min="15619" max="15619"/>
    <col width="8" customWidth="1" style="99" min="15620" max="15620"/>
    <col width="38" customWidth="1" style="99" min="15621" max="15621"/>
    <col width="48.1328125" customWidth="1" style="99" min="15622" max="15622"/>
    <col width="9" customWidth="1" style="99" min="15623" max="15872"/>
    <col width="28.1328125" customWidth="1" style="99" min="15873" max="15873"/>
    <col width="10" customWidth="1" style="99" min="15874" max="15874"/>
    <col width="14.33203125" customWidth="1" style="99" min="15875" max="15875"/>
    <col width="8" customWidth="1" style="99" min="15876" max="15876"/>
    <col width="38" customWidth="1" style="99" min="15877" max="15877"/>
    <col width="48.1328125" customWidth="1" style="99" min="15878" max="15878"/>
    <col width="9" customWidth="1" style="99" min="15879" max="16128"/>
    <col width="28.1328125" customWidth="1" style="99" min="16129" max="16129"/>
    <col width="10" customWidth="1" style="99" min="16130" max="16130"/>
    <col width="14.33203125" customWidth="1" style="99" min="16131" max="16131"/>
    <col width="8" customWidth="1" style="99" min="16132" max="16132"/>
    <col width="38" customWidth="1" style="99" min="16133" max="16133"/>
    <col width="48.1328125" customWidth="1" style="99" min="16134" max="16134"/>
    <col width="9" customWidth="1" style="99" min="16135" max="16384"/>
  </cols>
  <sheetData>
    <row r="2" ht="75.75" customFormat="1" customHeight="1" s="96">
      <c r="A2" s="95" t="n"/>
      <c r="B2" s="127" t="inlineStr">
        <is>
          <t>SYSTEM TEST REPORT DOCUMENT</t>
        </is>
      </c>
      <c r="C2" s="143" t="n"/>
      <c r="D2" s="143" t="n"/>
      <c r="E2" s="143" t="n"/>
      <c r="F2" s="144" t="n"/>
    </row>
    <row r="3">
      <c r="A3" s="97" t="n"/>
      <c r="B3" s="98" t="n"/>
      <c r="E3" s="100" t="n"/>
    </row>
    <row r="4" ht="14.25" customHeight="1">
      <c r="A4" s="101" t="inlineStr">
        <is>
          <t>Project Name</t>
        </is>
      </c>
      <c r="B4" s="128" t="inlineStr">
        <is>
          <t>SakuJi JLPT Learning Platform</t>
        </is>
      </c>
      <c r="C4" s="143" t="n"/>
      <c r="D4" s="144" t="n"/>
      <c r="E4" s="101" t="inlineStr">
        <is>
          <t>Creator</t>
        </is>
      </c>
      <c r="F4" s="102" t="inlineStr">
        <is>
          <t>Senior QA Automation Engineer</t>
        </is>
      </c>
    </row>
    <row r="5" ht="14.25" customHeight="1">
      <c r="A5" s="101" t="inlineStr">
        <is>
          <t>Project Code</t>
        </is>
      </c>
      <c r="B5" s="128" t="inlineStr">
        <is>
          <t>SAKUJI-JLPT</t>
        </is>
      </c>
      <c r="C5" s="143" t="n"/>
      <c r="D5" s="144" t="n"/>
      <c r="E5" s="101" t="inlineStr">
        <is>
          <t>Issue Date</t>
        </is>
      </c>
      <c r="F5" s="145" t="n">
        <v>46229</v>
      </c>
    </row>
    <row r="6" ht="15.75" customHeight="1">
      <c r="A6" s="104" t="inlineStr">
        <is>
          <t>Document Code</t>
        </is>
      </c>
      <c r="B6" s="146">
        <f>"SAKUJI-JLPT_ST_v3.0"</f>
        <v/>
      </c>
      <c r="C6" s="143" t="n"/>
      <c r="D6" s="144" t="n"/>
      <c r="E6" s="101" t="inlineStr">
        <is>
          <t>Version</t>
        </is>
      </c>
      <c r="F6" s="105" t="inlineStr">
        <is>
          <t>3.0</t>
        </is>
      </c>
    </row>
    <row r="7">
      <c r="A7" s="106" t="n"/>
      <c r="B7" s="107" t="n"/>
      <c r="E7" s="108" t="n"/>
      <c r="F7" s="98" t="n"/>
    </row>
    <row r="8">
      <c r="A8" s="99" t="n"/>
    </row>
    <row r="9">
      <c r="A9" s="109" t="inlineStr">
        <is>
          <t>Record of change</t>
        </is>
      </c>
    </row>
    <row r="10" customFormat="1" s="113">
      <c r="A10" s="110" t="inlineStr">
        <is>
          <t>Effective Date</t>
        </is>
      </c>
      <c r="B10" s="111" t="inlineStr">
        <is>
          <t>Version</t>
        </is>
      </c>
      <c r="C10" s="111" t="inlineStr">
        <is>
          <t>Change Item</t>
        </is>
      </c>
      <c r="D10" s="111" t="inlineStr">
        <is>
          <t>*A,D,M</t>
        </is>
      </c>
      <c r="E10" s="111" t="inlineStr">
        <is>
          <t>Change description</t>
        </is>
      </c>
      <c r="F10" s="112" t="inlineStr">
        <is>
          <t>Reference</t>
        </is>
      </c>
    </row>
    <row r="11" ht="26.25" customFormat="1" customHeight="1" s="119">
      <c r="A11" s="147" t="n">
        <v>46229</v>
      </c>
      <c r="B11" s="115" t="inlineStr">
        <is>
          <t>3.0</t>
        </is>
      </c>
      <c r="C11" s="116" t="inlineStr">
        <is>
          <t>Complete System Test Suite</t>
        </is>
      </c>
      <c r="D11" s="116" t="inlineStr">
        <is>
          <t>A</t>
        </is>
      </c>
      <c r="E11" s="117" t="inlineStr">
        <is>
          <t>Imported 142 detailed test cases, traceability and execution baseline from SystemTest.md.</t>
        </is>
      </c>
      <c r="F11" s="118" t="inlineStr">
        <is>
          <t>SystemTest.md; docs/00-Tong-Quan-He-Thong.md</t>
        </is>
      </c>
    </row>
    <row r="12" ht="21.75" customFormat="1" customHeight="1" s="119">
      <c r="A12" s="120" t="n">
        <v>46229</v>
      </c>
      <c r="B12" s="115" t="inlineStr">
        <is>
          <t>3.1</t>
        </is>
      </c>
      <c r="C12" s="116" t="inlineStr">
        <is>
          <t>Codex QA</t>
        </is>
      </c>
      <c r="D12" s="116" t="inlineStr">
        <is>
          <t>System Test execution</t>
        </is>
      </c>
      <c r="E12" s="116" t="inlineStr">
        <is>
          <t>Round 1 recorded in English: 11 Passed, 131 Pending, 0 Failed. Backend 120/120 and frontend 18/18 automated tests passed.</t>
        </is>
      </c>
      <c r="F12" s="121" t="n"/>
    </row>
    <row r="13" ht="19.5" customFormat="1" customHeight="1" s="119">
      <c r="A13" s="120" t="n"/>
      <c r="B13" s="115" t="n"/>
      <c r="C13" s="116" t="n"/>
      <c r="D13" s="116" t="n"/>
      <c r="E13" s="116" t="n"/>
      <c r="F13" s="121" t="n"/>
    </row>
    <row r="14" ht="21.75" customFormat="1" customHeight="1" s="119">
      <c r="A14" s="120" t="n"/>
      <c r="B14" s="115" t="n"/>
      <c r="C14" s="116" t="n"/>
      <c r="D14" s="116" t="n"/>
      <c r="E14" s="116" t="n"/>
      <c r="F14" s="121" t="n"/>
    </row>
    <row r="15" ht="19.5" customFormat="1" customHeight="1" s="119">
      <c r="A15" s="120" t="n"/>
      <c r="B15" s="115" t="n"/>
      <c r="C15" s="116" t="n"/>
      <c r="D15" s="116" t="n"/>
      <c r="E15" s="116" t="n"/>
      <c r="F15" s="121" t="n"/>
    </row>
    <row r="16" ht="21.75" customFormat="1" customHeight="1" s="119">
      <c r="A16" s="120" t="n"/>
      <c r="B16" s="115" t="n"/>
      <c r="C16" s="116" t="n"/>
      <c r="D16" s="116" t="n"/>
      <c r="E16" s="116" t="n"/>
      <c r="F16" s="121" t="n"/>
    </row>
    <row r="17" ht="19.5" customFormat="1" customHeight="1" s="119">
      <c r="A17" s="122" t="n"/>
      <c r="B17" s="123" t="n"/>
      <c r="C17" s="124" t="n"/>
      <c r="D17" s="124" t="n"/>
      <c r="E17" s="124" t="n"/>
      <c r="F17" s="125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.5118055555555556" footer="0.1701388888888889"/>
  <pageSetup orientation="landscape" paperSize="9" firstPageNumber="0" horizontalDpi="300" verticalDpi="300"/>
  <headerFooter alignWithMargins="0">
    <oddHeader/>
    <oddFooter>&amp;L&amp;"Tahoma,Regular"&amp;8 02ae-BM/PM/HDCV/FSOFT v2/1&amp;C&amp;"Tahoma,Regular"&amp;8 Internal use&amp;R&amp;"tahomaTahoma,Regular"&amp;8 &amp;P/&amp;N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4"/>
  <sheetViews>
    <sheetView workbookViewId="0">
      <selection activeCell="B12" sqref="B12"/>
    </sheetView>
  </sheetViews>
  <sheetFormatPr baseColWidth="8" defaultColWidth="9" defaultRowHeight="12.75"/>
  <cols>
    <col width="1.33203125" customWidth="1" style="1" min="1" max="1"/>
    <col width="6.3984375" customWidth="1" style="3" min="2" max="2"/>
    <col width="26.46484375" customWidth="1" style="4" min="3" max="3"/>
    <col width="17.1328125" customWidth="1" style="4" min="4" max="4"/>
    <col width="28.1328125" customWidth="1" style="4" min="5" max="5"/>
    <col width="30.6640625" customWidth="1" style="4" min="6" max="6"/>
    <col width="9" customWidth="1" style="1" min="7" max="16384"/>
  </cols>
  <sheetData>
    <row r="1" ht="24.4" customHeight="1">
      <c r="B1" s="5" t="n"/>
      <c r="D1" s="6" t="inlineStr">
        <is>
          <t>TEST CASE LIST</t>
        </is>
      </c>
      <c r="E1" s="7" t="n"/>
    </row>
    <row r="2" ht="13.5" customHeight="1">
      <c r="B2" s="5" t="n"/>
      <c r="D2" s="8" t="n"/>
      <c r="E2" s="8" t="n"/>
    </row>
    <row r="3">
      <c r="B3" s="134" t="inlineStr">
        <is>
          <t>Project Name</t>
        </is>
      </c>
      <c r="C3" s="143" t="n"/>
      <c r="D3" s="135" t="inlineStr">
        <is>
          <t>SakuJi JLPT Learning Platform</t>
        </is>
      </c>
      <c r="E3" s="143" t="n"/>
      <c r="F3" s="144" t="n"/>
    </row>
    <row r="4">
      <c r="B4" s="134" t="inlineStr">
        <is>
          <t>Project Code</t>
        </is>
      </c>
      <c r="C4" s="143" t="n"/>
      <c r="D4" s="135" t="inlineStr">
        <is>
          <t>SAKUJI-JLPT</t>
        </is>
      </c>
      <c r="E4" s="143" t="n"/>
      <c r="F4" s="144" t="n"/>
    </row>
    <row r="5" ht="84.75" customFormat="1" customHeight="1" s="9">
      <c r="B5" s="132" t="inlineStr">
        <is>
          <t>Test Environment Setup Description</t>
        </is>
      </c>
      <c r="C5" s="144" t="n"/>
      <c r="D5" s="133" t="inlineStr">
        <is>
          <t>Java 21; Spring Boot 3.3.3; Node.js 24; React 18; MySQL 8.4 target; Chrome/Firefox/Edge; SMTP/OAuth sandbox; Playwright/REST system runner proposed. Current execution baseline used H2 because Docker/MySQL was unavailable.</t>
        </is>
      </c>
      <c r="E5" s="143" t="n"/>
      <c r="F5" s="144" t="n"/>
    </row>
    <row r="6">
      <c r="B6" s="10" t="n"/>
      <c r="C6" s="1" t="n"/>
      <c r="D6" s="1" t="n"/>
      <c r="E6" s="1" t="n"/>
      <c r="F6" s="1" t="n"/>
    </row>
    <row r="7" customFormat="1" s="11">
      <c r="B7" s="12" t="n"/>
      <c r="C7" s="13" t="n"/>
      <c r="D7" s="13" t="n"/>
      <c r="E7" s="13" t="n"/>
      <c r="F7" s="13" t="n"/>
    </row>
    <row r="8" ht="21" customFormat="1" customHeight="1" s="14">
      <c r="B8" s="15" t="inlineStr">
        <is>
          <t>No</t>
        </is>
      </c>
      <c r="C8" s="16" t="inlineStr">
        <is>
          <t>Function Name</t>
        </is>
      </c>
      <c r="D8" s="16" t="inlineStr">
        <is>
          <t>Sheet Name</t>
        </is>
      </c>
      <c r="E8" s="17" t="inlineStr">
        <is>
          <t>Description</t>
        </is>
      </c>
      <c r="F8" s="18" t="inlineStr">
        <is>
          <t>Pre-Condition</t>
        </is>
      </c>
    </row>
    <row r="9" ht="45" customHeight="1">
      <c r="B9" s="148" t="n">
        <v>1</v>
      </c>
      <c r="C9" s="149" t="inlineStr">
        <is>
          <t>Auth / Public</t>
        </is>
      </c>
      <c r="D9" s="149" t="inlineStr">
        <is>
          <t>Auth_Public</t>
        </is>
      </c>
      <c r="E9" s="150" t="inlineStr">
        <is>
          <t>Authentication, public pages, session and route guards</t>
        </is>
      </c>
      <c r="F9" s="151" t="inlineStr">
        <is>
          <t>Environment and actor fixtures prepared; dependent workflows completed.</t>
        </is>
      </c>
    </row>
    <row r="10" ht="45" customHeight="1">
      <c r="B10" s="148" t="n">
        <v>2</v>
      </c>
      <c r="C10" s="149" t="inlineStr">
        <is>
          <t>Student</t>
        </is>
      </c>
      <c r="D10" s="149" t="inlineStr">
        <is>
          <t>Student</t>
        </is>
      </c>
      <c r="E10" s="150" t="inlineStr">
        <is>
          <t>Student learning, profile, assessment, support and notification</t>
        </is>
      </c>
      <c r="F10" s="151" t="inlineStr">
        <is>
          <t>Environment and actor fixtures prepared; dependent workflows completed.</t>
        </is>
      </c>
    </row>
    <row r="11" ht="45" customHeight="1">
      <c r="B11" s="148" t="n">
        <v>3</v>
      </c>
      <c r="C11" s="149" t="inlineStr">
        <is>
          <t>Staff</t>
        </is>
      </c>
      <c r="D11" s="149" t="inlineStr">
        <is>
          <t>Staff</t>
        </is>
      </c>
      <c r="E11" s="150" t="inlineStr">
        <is>
          <t>Staff dashboard, authoring, support, broadcast and grading</t>
        </is>
      </c>
      <c r="F11" s="151" t="inlineStr">
        <is>
          <t>Environment and actor fixtures prepared; dependent workflows completed.</t>
        </is>
      </c>
    </row>
    <row r="12" ht="45" customHeight="1">
      <c r="B12" s="148" t="n">
        <v>4</v>
      </c>
      <c r="C12" s="149" t="inlineStr">
        <is>
          <t>Manager</t>
        </is>
      </c>
      <c r="D12" s="149" t="inlineStr">
        <is>
          <t>Manager</t>
        </is>
      </c>
      <c r="E12" s="150" t="inlineStr">
        <is>
          <t>StaffManager review, publish, restore and coordination</t>
        </is>
      </c>
      <c r="F12" s="151" t="inlineStr">
        <is>
          <t>Environment and actor fixtures prepared; dependent workflows completed.</t>
        </is>
      </c>
    </row>
    <row r="13" ht="45" customHeight="1">
      <c r="B13" s="148" t="n">
        <v>5</v>
      </c>
      <c r="C13" s="149" t="inlineStr">
        <is>
          <t>Admin</t>
        </is>
      </c>
      <c r="D13" s="149" t="inlineStr">
        <is>
          <t>Admin</t>
        </is>
      </c>
      <c r="E13" s="150" t="inlineStr">
        <is>
          <t>Admin dashboard, users, settings, audit and notification rules</t>
        </is>
      </c>
      <c r="F13" s="151" t="inlineStr">
        <is>
          <t>Environment and actor fixtures prepared; dependent workflows completed.</t>
        </is>
      </c>
    </row>
    <row r="14" ht="45" customHeight="1">
      <c r="B14" s="148" t="n">
        <v>6</v>
      </c>
      <c r="C14" s="149" t="inlineStr">
        <is>
          <t>CrossRole / Security</t>
        </is>
      </c>
      <c r="D14" s="149" t="inlineStr">
        <is>
          <t>CrossRole_Security</t>
        </is>
      </c>
      <c r="E14" s="150" t="inlineStr">
        <is>
          <t>Cross-role authorization, security, reliability, UI and database</t>
        </is>
      </c>
      <c r="F14" s="151" t="inlineStr">
        <is>
          <t>Environment and actor fixtures prepared; dependent workflows completed.</t>
        </is>
      </c>
    </row>
  </sheetData>
  <mergeCells count="6">
    <mergeCell ref="D5:F5"/>
    <mergeCell ref="B3:C3"/>
    <mergeCell ref="B5:C5"/>
    <mergeCell ref="D4:F4"/>
    <mergeCell ref="D3:F3"/>
    <mergeCell ref="B4:C4"/>
  </mergeCells>
  <pageMargins left="0.7479166666666667" right="0.7479166666666667" top="0.9840277777777778" bottom="1.150694444444444" header="0.5118055555555556" footer="0.9840277777777778"/>
  <pageSetup orientation="landscape" paperSize="9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B2" sqref="B2"/>
    </sheetView>
  </sheetViews>
  <sheetFormatPr baseColWidth="8" defaultColWidth="9" defaultRowHeight="12.75"/>
  <cols>
    <col width="4.46484375" customWidth="1" style="1" min="1" max="1"/>
    <col width="18.33203125" customWidth="1" style="1" min="2" max="2"/>
    <col width="19.33203125" customWidth="1" style="1" min="3" max="3"/>
    <col width="11.6640625" customWidth="1" style="1" min="4" max="6"/>
    <col width="9" customWidth="1" style="1" min="7" max="7"/>
    <col width="35.46484375" customWidth="1" style="1" min="8" max="8"/>
    <col width="33.1328125" customWidth="1" style="1" min="9" max="9"/>
    <col width="9" customWidth="1" style="1" min="10" max="16384"/>
  </cols>
  <sheetData>
    <row r="1" ht="25.5" customHeight="1">
      <c r="B1" s="138" t="inlineStr">
        <is>
          <t>TEST STATISTICS</t>
        </is>
      </c>
    </row>
    <row r="2" ht="14.25" customHeight="1">
      <c r="A2" s="47" t="n"/>
      <c r="B2" s="47" t="n"/>
      <c r="C2" s="48" t="n"/>
      <c r="D2" s="48" t="n"/>
      <c r="E2" s="48" t="n"/>
      <c r="F2" s="48" t="n"/>
      <c r="G2" s="48" t="n"/>
      <c r="H2" s="49" t="n"/>
    </row>
    <row r="3" ht="12" customHeight="1">
      <c r="B3" s="2" t="inlineStr">
        <is>
          <t>Project Name</t>
        </is>
      </c>
      <c r="C3" s="135" t="inlineStr">
        <is>
          <t>SakuJi JLPT Learning Platform</t>
        </is>
      </c>
      <c r="D3" s="144" t="n"/>
      <c r="E3" s="136" t="inlineStr">
        <is>
          <t>Creator</t>
        </is>
      </c>
      <c r="F3" s="144" t="n"/>
      <c r="G3" s="50" t="inlineStr">
        <is>
          <t>Senior QA Automation Engineer</t>
        </is>
      </c>
      <c r="H3" s="51" t="n"/>
    </row>
    <row r="4" ht="12" customHeight="1">
      <c r="B4" s="2" t="inlineStr">
        <is>
          <t>Project Code</t>
        </is>
      </c>
      <c r="C4" s="135" t="inlineStr">
        <is>
          <t>SAKUJI-JLPT</t>
        </is>
      </c>
      <c r="D4" s="144" t="n"/>
      <c r="E4" s="136" t="inlineStr">
        <is>
          <t>Reviewer/Approver</t>
        </is>
      </c>
      <c r="F4" s="144" t="n"/>
      <c r="G4" s="50" t="inlineStr">
        <is>
          <t>TBD</t>
        </is>
      </c>
      <c r="H4" s="51" t="n"/>
    </row>
    <row r="5" ht="12" customHeight="1">
      <c r="B5" s="52" t="inlineStr">
        <is>
          <t>Document Code</t>
        </is>
      </c>
      <c r="C5" s="135">
        <f>"SAKUJI-JLPT_Test Report_v3.0"</f>
        <v/>
      </c>
      <c r="D5" s="144" t="n"/>
      <c r="E5" s="136" t="inlineStr">
        <is>
          <t>Issue Date</t>
        </is>
      </c>
      <c r="F5" s="144" t="n"/>
      <c r="G5" s="50" t="n"/>
      <c r="H5" s="152" t="n">
        <v>46229</v>
      </c>
    </row>
    <row r="6" ht="21.75" customHeight="1">
      <c r="A6" s="47" t="n"/>
      <c r="B6" s="52" t="inlineStr">
        <is>
          <t>Notes</t>
        </is>
      </c>
      <c r="C6" s="137" t="inlineStr">
        <is>
          <t>Release scope: all 40 use cases and 142 detailed System Test IDs. Round 1 remains Pending until full-stack/browser execution.</t>
        </is>
      </c>
      <c r="D6" s="143" t="n"/>
      <c r="E6" s="143" t="n"/>
      <c r="F6" s="143" t="n"/>
      <c r="G6" s="143" t="n"/>
      <c r="H6" s="144" t="n"/>
    </row>
    <row r="7" ht="14.25" customHeight="1">
      <c r="A7" s="47" t="n"/>
      <c r="B7" s="54" t="n"/>
      <c r="C7" s="55" t="n"/>
      <c r="D7" s="48" t="n"/>
      <c r="E7" s="48" t="n"/>
      <c r="F7" s="48" t="n"/>
      <c r="G7" s="48" t="n"/>
      <c r="H7" s="49" t="n"/>
    </row>
    <row r="8">
      <c r="B8" s="54" t="n"/>
      <c r="C8" s="55" t="n"/>
      <c r="D8" s="48" t="n"/>
      <c r="E8" s="48" t="n"/>
      <c r="F8" s="48" t="n"/>
      <c r="G8" s="48" t="n"/>
      <c r="H8" s="49" t="n"/>
    </row>
    <row r="10">
      <c r="A10" s="56" t="n"/>
      <c r="B10" s="57" t="inlineStr">
        <is>
          <t>No</t>
        </is>
      </c>
      <c r="C10" s="58" t="inlineStr">
        <is>
          <t>Module code</t>
        </is>
      </c>
      <c r="D10" s="59" t="inlineStr">
        <is>
          <t>Passed</t>
        </is>
      </c>
      <c r="E10" s="58" t="inlineStr">
        <is>
          <t>Failed</t>
        </is>
      </c>
      <c r="F10" s="58" t="inlineStr">
        <is>
          <t>Pending</t>
        </is>
      </c>
      <c r="G10" s="60" t="inlineStr">
        <is>
          <t>N/A</t>
        </is>
      </c>
      <c r="H10" s="61" t="inlineStr">
        <is>
          <t>Number of  test cases</t>
        </is>
      </c>
    </row>
    <row r="11">
      <c r="A11" s="56" t="n"/>
      <c r="B11" s="57" t="n">
        <v>1</v>
      </c>
      <c r="C11" s="58">
        <f>'Auth_Public'!B2</f>
        <v/>
      </c>
      <c r="D11" s="59">
        <f>'Auth_Public'!B6</f>
        <v/>
      </c>
      <c r="E11" s="58">
        <f>'Auth_Public'!C6</f>
        <v/>
      </c>
      <c r="F11" s="58">
        <f>'Auth_Public'!D6</f>
        <v/>
      </c>
      <c r="G11" s="60">
        <f>'Auth_Public'!E6</f>
        <v/>
      </c>
      <c r="H11" s="61">
        <f>'Auth_Public'!B4</f>
        <v/>
      </c>
    </row>
    <row r="12">
      <c r="A12" s="56" t="n"/>
      <c r="B12" s="57" t="n">
        <v>2</v>
      </c>
      <c r="C12" s="58">
        <f>'Student'!B2</f>
        <v/>
      </c>
      <c r="D12" s="59">
        <f>'Student'!B6</f>
        <v/>
      </c>
      <c r="E12" s="58">
        <f>'Student'!C6</f>
        <v/>
      </c>
      <c r="F12" s="58">
        <f>'Student'!D6</f>
        <v/>
      </c>
      <c r="G12" s="60">
        <f>'Student'!E6</f>
        <v/>
      </c>
      <c r="H12" s="61">
        <f>'Student'!B4</f>
        <v/>
      </c>
    </row>
    <row r="13">
      <c r="A13" s="56" t="n"/>
      <c r="B13" s="57" t="n">
        <v>3</v>
      </c>
      <c r="C13" s="58">
        <f>'Staff'!B2</f>
        <v/>
      </c>
      <c r="D13" s="59">
        <f>'Staff'!B6</f>
        <v/>
      </c>
      <c r="E13" s="58">
        <f>'Staff'!C6</f>
        <v/>
      </c>
      <c r="F13" s="58">
        <f>'Staff'!D6</f>
        <v/>
      </c>
      <c r="G13" s="60">
        <f>'Staff'!E6</f>
        <v/>
      </c>
      <c r="H13" s="61">
        <f>'Staff'!B4</f>
        <v/>
      </c>
    </row>
    <row r="14">
      <c r="A14" s="56" t="n"/>
      <c r="B14" s="57" t="n">
        <v>4</v>
      </c>
      <c r="C14" s="58">
        <f>'Manager'!B2</f>
        <v/>
      </c>
      <c r="D14" s="59">
        <f>'Manager'!B6</f>
        <v/>
      </c>
      <c r="E14" s="58">
        <f>'Manager'!C6</f>
        <v/>
      </c>
      <c r="F14" s="58">
        <f>'Manager'!D6</f>
        <v/>
      </c>
      <c r="G14" s="60">
        <f>'Manager'!E6</f>
        <v/>
      </c>
      <c r="H14" s="61">
        <f>'Manager'!B4</f>
        <v/>
      </c>
    </row>
    <row r="15">
      <c r="A15" s="56" t="n"/>
      <c r="B15" s="57" t="n">
        <v>5</v>
      </c>
      <c r="C15" s="58">
        <f>'Admin'!B2</f>
        <v/>
      </c>
      <c r="D15" s="59">
        <f>'Admin'!B6</f>
        <v/>
      </c>
      <c r="E15" s="58">
        <f>'Admin'!C6</f>
        <v/>
      </c>
      <c r="F15" s="58">
        <f>'Admin'!D6</f>
        <v/>
      </c>
      <c r="G15" s="60">
        <f>'Admin'!E6</f>
        <v/>
      </c>
      <c r="H15" s="61">
        <f>'Admin'!B4</f>
        <v/>
      </c>
    </row>
    <row r="16">
      <c r="A16" s="56" t="n"/>
      <c r="B16" s="57" t="n">
        <v>6</v>
      </c>
      <c r="C16" s="58">
        <f>'CrossRole_Security'!B2</f>
        <v/>
      </c>
      <c r="D16" s="59">
        <f>'CrossRole_Security'!B6</f>
        <v/>
      </c>
      <c r="E16" s="58">
        <f>'CrossRole_Security'!C6</f>
        <v/>
      </c>
      <c r="F16" s="58">
        <f>'CrossRole_Security'!D6</f>
        <v/>
      </c>
      <c r="G16" s="60">
        <f>'CrossRole_Security'!E6</f>
        <v/>
      </c>
      <c r="H16" s="61">
        <f>'CrossRole_Security'!B4</f>
        <v/>
      </c>
    </row>
    <row r="17">
      <c r="C17" t="inlineStr">
        <is>
          <t>Sub total</t>
        </is>
      </c>
      <c r="D17">
        <f>SUM(D11:D16)</f>
        <v/>
      </c>
      <c r="E17">
        <f>SUM(E11:E16)</f>
        <v/>
      </c>
      <c r="F17">
        <f>SUM(F11:F16)</f>
        <v/>
      </c>
      <c r="G17">
        <f>SUM(G11:G16)</f>
        <v/>
      </c>
      <c r="H17">
        <f>SUM(H11:H16)</f>
        <v/>
      </c>
    </row>
    <row r="19">
      <c r="C19" t="inlineStr">
        <is>
          <t>Test coverage</t>
        </is>
      </c>
      <c r="E19">
        <f>(D17+E17)*100/(H17-G17)</f>
        <v/>
      </c>
      <c r="F19" t="inlineStr">
        <is>
          <t>%</t>
        </is>
      </c>
    </row>
    <row r="20">
      <c r="C20" t="inlineStr">
        <is>
          <t>Test successful coverage</t>
        </is>
      </c>
      <c r="E20">
        <f>D17*100/(H17-G17)</f>
        <v/>
      </c>
      <c r="F20" t="inlineStr">
        <is>
          <t>%</t>
        </is>
      </c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7" right="0.7479166666666667" top="0.9840277777777778" bottom="0.9840277777777777" header="0.5118055555555556" footer="0.5"/>
  <pageSetup orientation="landscape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2:R39"/>
  <sheetViews>
    <sheetView showGridLines="0" tabSelected="1" zoomScale="85" zoomScaleNormal="85" workbookViewId="0">
      <pane ySplit="10" topLeftCell="A11" activePane="bottomLeft" state="frozen"/>
      <selection pane="bottomLeft" activeCell="B12" sqref="B12"/>
    </sheetView>
  </sheetViews>
  <sheetFormatPr baseColWidth="8" defaultColWidth="9" defaultRowHeight="12.75" outlineLevelRow="1"/>
  <cols>
    <col width="16" customWidth="1" style="1" min="1" max="1"/>
    <col width="34" customWidth="1" style="1" min="2" max="2"/>
    <col width="48" customWidth="1" style="1" min="3" max="3"/>
    <col width="48" customWidth="1" style="1" min="4" max="4"/>
    <col width="32" customWidth="1" style="1" min="5" max="5"/>
    <col width="12" customWidth="1" style="1" min="6" max="6"/>
    <col outlineLevel="1" width="14" customWidth="1" style="1" min="7" max="7"/>
    <col outlineLevel="1" width="18" bestFit="1" customWidth="1" style="1" min="8" max="8"/>
    <col width="12" customWidth="1" style="1" min="9" max="9"/>
    <col outlineLevel="1" width="14" customWidth="1" style="1" min="10" max="10"/>
    <col outlineLevel="1" width="18" bestFit="1" customWidth="1" style="1" min="11" max="11"/>
    <col width="12" customWidth="1" style="1" min="12" max="12"/>
    <col outlineLevel="1" width="14" customWidth="1" style="1" min="13" max="13"/>
    <col outlineLevel="1" width="18" bestFit="1" customWidth="1" style="1" min="14" max="14"/>
    <col width="34" customWidth="1" style="1" min="15" max="15"/>
    <col width="10.1328125" customWidth="1" style="1" min="16" max="16"/>
    <col width="8.1328125" customWidth="1" style="28" min="17" max="17"/>
    <col hidden="1" width="7.6640625" customWidth="1" style="1" min="18" max="18"/>
    <col width="9" customWidth="1" style="1" min="19" max="16384"/>
  </cols>
  <sheetData>
    <row r="1" ht="13.15" customHeight="1" thickBot="1"/>
    <row r="2" ht="15" customFormat="1" customHeight="1" s="30">
      <c r="A2" s="92" t="inlineStr">
        <is>
          <t>Workflow</t>
        </is>
      </c>
      <c r="B2" s="139" t="inlineStr">
        <is>
          <t>Auth_Public</t>
        </is>
      </c>
      <c r="C2" s="153" t="n"/>
      <c r="D2" s="153" t="n"/>
      <c r="E2" s="154" t="n"/>
      <c r="F2" s="82" t="n"/>
      <c r="G2" s="76" t="n"/>
      <c r="H2" s="9" t="n"/>
      <c r="I2" s="82" t="n"/>
      <c r="J2" s="76" t="n"/>
      <c r="K2" s="9" t="n"/>
      <c r="L2" s="82" t="n"/>
      <c r="M2" s="76" t="n"/>
      <c r="N2" s="9" t="n"/>
      <c r="O2" s="9" t="n"/>
      <c r="P2" s="9" t="n"/>
      <c r="Q2" s="29" t="n"/>
      <c r="R2" s="30" t="inlineStr">
        <is>
          <t>Passed</t>
        </is>
      </c>
    </row>
    <row r="3" customFormat="1" s="30">
      <c r="A3" s="93" t="inlineStr">
        <is>
          <t>Test requirement</t>
        </is>
      </c>
      <c r="B3" s="141" t="inlineStr">
        <is>
          <t>Authentication, public pages, session and route guards</t>
        </is>
      </c>
      <c r="C3" s="155" t="n"/>
      <c r="D3" s="155" t="n"/>
      <c r="E3" s="156" t="n"/>
      <c r="F3" s="82" t="n"/>
      <c r="G3" s="76" t="n"/>
      <c r="H3" s="9" t="n"/>
      <c r="I3" s="82" t="n"/>
      <c r="J3" s="76" t="n"/>
      <c r="K3" s="9" t="n"/>
      <c r="L3" s="82" t="n"/>
      <c r="M3" s="76" t="n"/>
      <c r="N3" s="9" t="n"/>
      <c r="O3" s="9" t="n"/>
      <c r="P3" s="9" t="n"/>
      <c r="Q3" s="29" t="n"/>
      <c r="R3" s="30" t="inlineStr">
        <is>
          <t>Failed</t>
        </is>
      </c>
    </row>
    <row r="4" ht="18" customFormat="1" customHeight="1" s="30">
      <c r="A4" s="93" t="inlineStr">
        <is>
          <t>Number of TCs</t>
        </is>
      </c>
      <c r="B4" s="141">
        <f>COUNTA(A12:A1000)</f>
        <v/>
      </c>
      <c r="C4" s="155" t="n"/>
      <c r="D4" s="155" t="n"/>
      <c r="E4" s="156" t="n"/>
      <c r="F4" s="82" t="n"/>
      <c r="G4" s="76" t="n"/>
      <c r="H4" s="9" t="n"/>
      <c r="I4" s="82" t="n"/>
      <c r="J4" s="76" t="n"/>
      <c r="K4" s="9" t="n"/>
      <c r="L4" s="82" t="n"/>
      <c r="M4" s="76" t="n"/>
      <c r="N4" s="9" t="n"/>
      <c r="O4" s="9" t="n"/>
      <c r="P4" s="9" t="n"/>
      <c r="Q4" s="29" t="n"/>
      <c r="R4" s="30" t="inlineStr">
        <is>
          <t>Pending</t>
        </is>
      </c>
    </row>
    <row r="5" ht="19.5" customFormat="1" customHeight="1" s="30">
      <c r="A5" s="86" t="inlineStr">
        <is>
          <t>Testing Round</t>
        </is>
      </c>
      <c r="B5" s="84" t="inlineStr">
        <is>
          <t>Passed</t>
        </is>
      </c>
      <c r="C5" s="84" t="inlineStr">
        <is>
          <t>Failed</t>
        </is>
      </c>
      <c r="D5" s="84" t="inlineStr">
        <is>
          <t>Pending</t>
        </is>
      </c>
      <c r="E5" s="87" t="inlineStr">
        <is>
          <t>N/A</t>
        </is>
      </c>
      <c r="F5" s="77" t="n"/>
      <c r="G5" s="77" t="n"/>
      <c r="H5" s="31" t="n"/>
      <c r="I5" s="77" t="n"/>
      <c r="J5" s="77" t="n"/>
      <c r="K5" s="31" t="n"/>
      <c r="L5" s="77" t="n"/>
      <c r="M5" s="77" t="n"/>
      <c r="N5" s="31" t="n"/>
      <c r="O5" s="31" t="n"/>
      <c r="P5" s="31" t="n"/>
      <c r="Q5" s="32" t="n"/>
      <c r="R5" s="30" t="inlineStr">
        <is>
          <t>N/A</t>
        </is>
      </c>
    </row>
    <row r="6" ht="15" customFormat="1" customHeight="1" s="30">
      <c r="A6" s="86" t="inlineStr">
        <is>
          <t>Round 1</t>
        </is>
      </c>
      <c r="B6" s="85">
        <f>COUNTIF($F$12:$F$1000,"Passed")</f>
        <v/>
      </c>
      <c r="C6" s="85">
        <f>COUNTIF($F$12:$F$1000,"Failed")</f>
        <v/>
      </c>
      <c r="D6" s="85">
        <f>COUNTIF($F$12:$F$1000,"Pending")</f>
        <v/>
      </c>
      <c r="E6" s="91">
        <f>COUNTIF($F$12:$F$1000,"N/A")</f>
        <v/>
      </c>
      <c r="F6" s="78" t="n"/>
      <c r="G6" s="78" t="n"/>
      <c r="H6" s="31" t="n"/>
      <c r="I6" s="78" t="n"/>
      <c r="J6" s="78" t="n"/>
      <c r="K6" s="31" t="n"/>
      <c r="L6" s="78" t="n"/>
      <c r="M6" s="78" t="n"/>
      <c r="N6" s="31" t="n"/>
      <c r="O6" s="31" t="n"/>
      <c r="P6" s="31" t="n"/>
      <c r="Q6" s="32" t="n"/>
    </row>
    <row r="7" ht="15" customFormat="1" customHeight="1" s="30">
      <c r="A7" s="86" t="inlineStr">
        <is>
          <t>Round 2</t>
        </is>
      </c>
      <c r="B7" s="85">
        <f>COUNTIF($I$12:$I$1000,"Passed")</f>
        <v/>
      </c>
      <c r="C7" s="85">
        <f>COUNTIF($I$12:$I$1000,"Failed")</f>
        <v/>
      </c>
      <c r="D7" s="85">
        <f>COUNTIF($I$12:$I$1000,"Pending")</f>
        <v/>
      </c>
      <c r="E7" s="91">
        <f>COUNTIF($I$12:$I$1000,"N/A")</f>
        <v/>
      </c>
      <c r="F7" s="78" t="n"/>
      <c r="G7" s="78" t="n"/>
      <c r="H7" s="31" t="n"/>
      <c r="I7" s="78" t="n"/>
      <c r="J7" s="78" t="n"/>
      <c r="K7" s="31" t="n"/>
      <c r="L7" s="78" t="n"/>
      <c r="M7" s="78" t="n"/>
      <c r="N7" s="31" t="n"/>
      <c r="O7" s="31" t="n"/>
      <c r="P7" s="31" t="n"/>
      <c r="Q7" s="32" t="n"/>
    </row>
    <row r="8" ht="15" customFormat="1" customHeight="1" s="30" thickBot="1">
      <c r="A8" s="88" t="inlineStr">
        <is>
          <t>Round 3</t>
        </is>
      </c>
      <c r="B8" s="89">
        <f>COUNTIF($L$12:$L$1000,"Passed")</f>
        <v/>
      </c>
      <c r="C8" s="89">
        <f>COUNTIF($L$12:$L$1000,"Failed")</f>
        <v/>
      </c>
      <c r="D8" s="89">
        <f>COUNTIF($L$12:$L$1000,"Pending")</f>
        <v/>
      </c>
      <c r="E8" s="90">
        <f>COUNTIF($L$12:$L$1000,"N/A")</f>
        <v/>
      </c>
      <c r="F8" s="78" t="n"/>
      <c r="G8" s="78" t="n"/>
      <c r="H8" s="31" t="n"/>
      <c r="I8" s="78" t="n"/>
      <c r="J8" s="78" t="n"/>
      <c r="K8" s="31" t="n"/>
      <c r="L8" s="78" t="n"/>
      <c r="M8" s="78" t="n"/>
      <c r="N8" s="31" t="n"/>
      <c r="O8" s="31" t="n"/>
      <c r="P8" s="31" t="n"/>
      <c r="Q8" s="32" t="n"/>
    </row>
    <row r="9" ht="15" customFormat="1" customHeight="1" s="30">
      <c r="A9" s="31" t="n"/>
      <c r="B9" s="31" t="n"/>
      <c r="C9" s="31" t="n"/>
      <c r="D9" s="31" t="n"/>
      <c r="E9" s="31" t="n"/>
      <c r="F9" s="33" t="n"/>
      <c r="G9" s="31" t="n"/>
      <c r="H9" s="31" t="n"/>
      <c r="I9" s="33" t="n"/>
      <c r="J9" s="31" t="n"/>
      <c r="K9" s="31" t="n"/>
      <c r="L9" s="33" t="n"/>
      <c r="M9" s="31" t="n"/>
      <c r="N9" s="31" t="n"/>
      <c r="O9" s="31" t="n"/>
      <c r="P9" s="31" t="n"/>
      <c r="Q9" s="32" t="n"/>
    </row>
    <row r="10" ht="25.5" customFormat="1" customHeight="1" s="30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 t="n"/>
    </row>
    <row r="11" ht="22" customFormat="1" customHeight="1" s="30">
      <c r="A11" s="157" t="inlineStr">
        <is>
          <t>Scenario: Public</t>
        </is>
      </c>
      <c r="B11" s="158" t="n"/>
      <c r="C11" s="159" t="n"/>
      <c r="D11" s="159" t="n"/>
      <c r="E11" s="159" t="n"/>
      <c r="F11" s="159" t="n"/>
      <c r="G11" s="159" t="n"/>
      <c r="H11" s="159" t="n"/>
      <c r="I11" s="159" t="n"/>
      <c r="J11" s="159" t="n"/>
      <c r="K11" s="159" t="n"/>
      <c r="L11" s="159" t="n"/>
      <c r="M11" s="159" t="n"/>
      <c r="N11" s="159" t="n"/>
      <c r="O11" s="160" t="n"/>
    </row>
    <row r="12" outlineLevel="1" ht="121.05" customFormat="1" customHeight="1" s="44">
      <c r="A12" s="39" t="inlineStr">
        <is>
          <t>AUTH-001</t>
        </is>
      </c>
      <c r="B12" s="40" t="inlineStr">
        <is>
          <t>[Khách] Landing/menu</t>
        </is>
      </c>
      <c r="C12" s="40" t="inlineStr">
        <is>
          <t>1. Mở `/`
2. kiểm tra logo, menu, CTA
3. đi tới Features/Blog/Login/Register</t>
        </is>
      </c>
      <c r="D12" s="133" t="inlineStr">
        <is>
          <t>Trang render không lỗi; menu/CTA điều hướng đúng; không lộ menu protected</t>
        </is>
      </c>
      <c r="E12" s="133" t="inlineStr">
        <is>
          <t>App running</t>
        </is>
      </c>
      <c r="F12" s="169" t="inlineStr">
        <is>
          <t>Pending</t>
        </is>
      </c>
      <c r="G12" s="170" t="n">
        <v>46229</v>
      </c>
      <c r="H12" s="39" t="inlineStr">
        <is>
          <t>Codex QA</t>
        </is>
      </c>
      <c r="I12" s="39" t="inlineStr">
        <is>
          <t>Pending</t>
        </is>
      </c>
      <c r="J12" s="39" t="n"/>
      <c r="K12" s="39" t="n"/>
      <c r="L12" s="39" t="inlineStr">
        <is>
          <t>Pending</t>
        </is>
      </c>
      <c r="M12" s="39" t="n"/>
      <c r="N12" s="39" t="n"/>
      <c r="O12" s="42" t="inlineStr">
        <is>
          <t>Test Data: N/A
Priority: P1
Type: Smoke, UI
ROUND 1 ACTUAL RESULT (26 Jul 2026): PENDING — Frontend unit tests, lint, and production build passed, but no Playwright/Cypress browser runner is configured for this end-to-end UI scenario.</t>
        </is>
      </c>
    </row>
    <row r="13" outlineLevel="1" ht="22" customHeight="1">
      <c r="A13" s="157" t="inlineStr">
        <is>
          <t>Scenario: Auth</t>
        </is>
      </c>
      <c r="B13" s="158" t="n"/>
      <c r="C13" s="159" t="n"/>
      <c r="D13" s="159" t="n"/>
      <c r="E13" s="159" t="n"/>
      <c r="F13" s="159" t="n"/>
      <c r="G13" s="159" t="n"/>
      <c r="H13" s="159" t="n"/>
      <c r="I13" s="159" t="n"/>
      <c r="J13" s="159" t="n"/>
      <c r="K13" s="159" t="n"/>
      <c r="L13" s="159" t="n"/>
      <c r="M13" s="159" t="n"/>
      <c r="N13" s="159" t="n"/>
      <c r="O13" s="160" t="n"/>
    </row>
    <row r="14" outlineLevel="1" ht="121.05" customHeight="1">
      <c r="A14" s="39" t="inlineStr">
        <is>
          <t>AUTH-002</t>
        </is>
      </c>
      <c r="B14" s="40" t="inlineStr">
        <is>
          <t>[Khách] Register positive</t>
        </is>
      </c>
      <c r="C14" s="40" t="inlineStr">
        <is>
          <t>1. Mở Register
2. nhập hợp lệ
3. submit</t>
        </is>
      </c>
      <c r="D14" s="133" t="inlineStr">
        <is>
          <t>API 201/200; Student `pending`; email OTP được gửi; UI chuyển verify</t>
        </is>
      </c>
      <c r="E14" s="133" t="inlineStr">
        <is>
          <t>Email chưa tồn tại</t>
        </is>
      </c>
      <c r="F14" s="169" t="inlineStr">
        <is>
          <t>Pending</t>
        </is>
      </c>
      <c r="G14" s="170" t="n">
        <v>46229</v>
      </c>
      <c r="H14" s="39" t="inlineStr">
        <is>
          <t>Codex QA</t>
        </is>
      </c>
      <c r="I14" s="39" t="inlineStr">
        <is>
          <t>Pending</t>
        </is>
      </c>
      <c r="J14" s="39" t="n"/>
      <c r="K14" s="39" t="n"/>
      <c r="L14" s="39" t="inlineStr">
        <is>
          <t>Pending</t>
        </is>
      </c>
      <c r="M14" s="39" t="n"/>
      <c r="N14" s="39" t="n"/>
      <c r="O14" s="42" t="inlineStr">
        <is>
          <t>Test Data: email mới, `PWD-OK`, `JP-TEXT` name
Priority: P0
Type: Functional, Integration
ROUND 1 ACTUAL RESULT (26 Jul 2026): PENDING — The relevant external provider/file-delivery workflow was not available as a complete System Test environment. Mocked automated checks passed where present.</t>
        </is>
      </c>
    </row>
    <row r="15" ht="121.05" customFormat="1" customHeight="1" s="30">
      <c r="A15" s="39" t="inlineStr">
        <is>
          <t>AUTH-003</t>
        </is>
      </c>
      <c r="B15" s="40" t="inlineStr">
        <is>
          <t>[Khách] Register invalid/boundary</t>
        </is>
      </c>
      <c r="C15" s="40" t="inlineStr">
        <is>
          <t>1. Submit rỗng
2. email sai
3. password dưới/đúng/trên giới hạn
4. name Unicode dài</t>
        </is>
      </c>
      <c r="D15" s="133" t="inlineStr">
        <is>
          <t>Client và server cùng chặn; field message rõ; không tạo DB row</t>
        </is>
      </c>
      <c r="E15" s="133" t="inlineStr">
        <is>
          <t>None</t>
        </is>
      </c>
      <c r="F15" s="169" t="inlineStr">
        <is>
          <t>Pending</t>
        </is>
      </c>
      <c r="G15" s="170" t="n">
        <v>46229</v>
      </c>
      <c r="H15" s="39" t="inlineStr">
        <is>
          <t>Codex QA</t>
        </is>
      </c>
      <c r="I15" s="39" t="inlineStr">
        <is>
          <t>Pending</t>
        </is>
      </c>
      <c r="J15" s="39" t="n"/>
      <c r="K15" s="39" t="n"/>
      <c r="L15" s="39" t="inlineStr">
        <is>
          <t>Pending</t>
        </is>
      </c>
      <c r="M15" s="39" t="n"/>
      <c r="N15" s="39" t="n"/>
      <c r="O15" s="42" t="inlineStr">
        <is>
          <t>Test Data: invalid/boundary set
Priority: P1
Type: Negative, Boundary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16" outlineLevel="1" ht="121.05" customHeight="1">
      <c r="A16" s="39" t="inlineStr">
        <is>
          <t>AUTH-004</t>
        </is>
      </c>
      <c r="B16" s="40" t="inlineStr">
        <is>
          <t>[Khách] Register duplicate/race</t>
        </is>
      </c>
      <c r="C16" s="40" t="inlineStr">
        <is>
          <t>Gửi hai register đồng thời cùng email</t>
        </is>
      </c>
      <c r="D16" s="133" t="inlineStr">
        <is>
          <t>Chỉ một account; request còn lại 409/validation; không duplicate</t>
        </is>
      </c>
      <c r="E16" s="133" t="inlineStr">
        <is>
          <t>Email đã có</t>
        </is>
      </c>
      <c r="F16" s="169" t="inlineStr">
        <is>
          <t>Pending</t>
        </is>
      </c>
      <c r="G16" s="170" t="n">
        <v>46229</v>
      </c>
      <c r="H16" s="39" t="inlineStr">
        <is>
          <t>Codex QA</t>
        </is>
      </c>
      <c r="I16" s="39" t="inlineStr">
        <is>
          <t>Pending</t>
        </is>
      </c>
      <c r="J16" s="39" t="n"/>
      <c r="K16" s="39" t="n"/>
      <c r="L16" s="39" t="inlineStr">
        <is>
          <t>Pending</t>
        </is>
      </c>
      <c r="M16" s="39" t="n"/>
      <c r="N16" s="39" t="n"/>
      <c r="O16" s="42" t="inlineStr">
        <is>
          <t>Test Data: same email
Priority: P0
Type: Concurrent, Database
ROUND 1 ACTUAL RESULT (26 Jul 2026): PENDING — The relevant external provider/file-delivery workflow was not available as a complete System Test environment. Mocked automated checks passed where present.</t>
        </is>
      </c>
    </row>
    <row r="17" outlineLevel="1" ht="121.05" customHeight="1">
      <c r="A17" s="39" t="inlineStr">
        <is>
          <t>AUTH-005</t>
        </is>
      </c>
      <c r="B17" s="40" t="inlineStr">
        <is>
          <t>[Khách] Verify OTP positive</t>
        </is>
      </c>
      <c r="C17" s="40" t="inlineStr">
        <is>
          <t>1. Mở `/verify-email`
2. nhập OTP
3. submit</t>
        </is>
      </c>
      <c r="D17" s="133" t="inlineStr">
        <is>
          <t>`email_verified_at` được set; token không tái sử dụng; có thể login</t>
        </is>
      </c>
      <c r="E17" s="133" t="inlineStr">
        <is>
          <t>`U-STU-P`, OTP còn hạn</t>
        </is>
      </c>
      <c r="F17" s="169" t="inlineStr">
        <is>
          <t>Pending</t>
        </is>
      </c>
      <c r="G17" s="170" t="n">
        <v>46229</v>
      </c>
      <c r="H17" s="39" t="inlineStr">
        <is>
          <t>Codex QA</t>
        </is>
      </c>
      <c r="I17" s="39" t="inlineStr">
        <is>
          <t>Pending</t>
        </is>
      </c>
      <c r="J17" s="39" t="n"/>
      <c r="K17" s="39" t="n"/>
      <c r="L17" s="39" t="inlineStr">
        <is>
          <t>Pending</t>
        </is>
      </c>
      <c r="M17" s="39" t="n"/>
      <c r="N17" s="39" t="n"/>
      <c r="O17" s="42" t="inlineStr">
        <is>
          <t>Test Data: OTP đúng 6 số
Priority: P0
Type: Functional
ROUND 1 ACTUAL RESULT (26 Jul 2026): PENDING — The relevant external provider/file-delivery workflow was not available as a complete System Test environment. Mocked automated checks passed where present.</t>
        </is>
      </c>
    </row>
    <row r="18" ht="121.05" customFormat="1" customHeight="1" s="30">
      <c r="A18" s="39" t="inlineStr">
        <is>
          <t>AUTH-006</t>
        </is>
      </c>
      <c r="B18" s="40" t="inlineStr">
        <is>
          <t>[Khách] Verify/resend negative</t>
        </is>
      </c>
      <c r="C18" s="40" t="inlineStr">
        <is>
          <t>1. Nhập OTP sai, hết hạn, đã dùng
2. resend liên tục</t>
        </is>
      </c>
      <c r="D18" s="133" t="inlineStr">
        <is>
          <t>Không verify; thông báo an toàn; rate/expiry được tôn trọng; OTP mới vô hiệu OTP cũ nếu thiết kế</t>
        </is>
      </c>
      <c r="E18" s="133" t="inlineStr">
        <is>
          <t>Pending account</t>
        </is>
      </c>
      <c r="F18" s="169" t="inlineStr">
        <is>
          <t>Pending</t>
        </is>
      </c>
      <c r="G18" s="170" t="n">
        <v>46229</v>
      </c>
      <c r="H18" s="39" t="inlineStr">
        <is>
          <t>Codex QA</t>
        </is>
      </c>
      <c r="I18" s="39" t="inlineStr">
        <is>
          <t>Pending</t>
        </is>
      </c>
      <c r="J18" s="39" t="n"/>
      <c r="K18" s="39" t="n"/>
      <c r="L18" s="39" t="inlineStr">
        <is>
          <t>Pending</t>
        </is>
      </c>
      <c r="M18" s="39" t="n"/>
      <c r="N18" s="39" t="n"/>
      <c r="O18" s="42" t="inlineStr">
        <is>
          <t>Test Data: invalid OTP
Priority: P1
Type: Negative, Security
ROUND 1 ACTUAL RESULT (26 Jul 2026): PENDING — The relevant external provider/file-delivery workflow was not available as a complete System Test environment. Mocked automated checks passed where present.</t>
        </is>
      </c>
    </row>
    <row r="19" outlineLevel="1" ht="121.05" customHeight="1">
      <c r="A19" s="39" t="inlineStr">
        <is>
          <t>AUTH-007</t>
        </is>
      </c>
      <c r="B19" s="40" t="inlineStr">
        <is>
          <t>[Mọi role] Login positive</t>
        </is>
      </c>
      <c r="C19" s="40" t="inlineStr">
        <is>
          <t>Login lần lượt Student/Staff/Manager/Admin</t>
        </is>
      </c>
      <c r="D19" s="133" t="inlineStr">
        <is>
          <t>Token đúng actor/role; redirect `/dashboard`, `/staff`, `/manager`, `/admin`</t>
        </is>
      </c>
      <c r="E19" s="133" t="inlineStr">
        <is>
          <t>Account active</t>
        </is>
      </c>
      <c r="F19" s="169" t="inlineStr">
        <is>
          <t>Pending</t>
        </is>
      </c>
      <c r="G19" s="170" t="n">
        <v>46229</v>
      </c>
      <c r="H19" s="39" t="inlineStr">
        <is>
          <t>Codex QA</t>
        </is>
      </c>
      <c r="I19" s="39" t="inlineStr">
        <is>
          <t>Pending</t>
        </is>
      </c>
      <c r="J19" s="39" t="n"/>
      <c r="K19" s="39" t="n"/>
      <c r="L19" s="39" t="inlineStr">
        <is>
          <t>Pending</t>
        </is>
      </c>
      <c r="M19" s="39" t="n"/>
      <c r="N19" s="39" t="n"/>
      <c r="O19" s="42" t="inlineStr">
        <is>
          <t>Test Data: valid credentials
Priority: P0
Type: Smoke, Functional
ROUND 1 ACTUAL RESULT (26 Jul 2026): PARTIALLY EXECUTED — AuthControllerIntegrationTest passed Student login; Staff, Manager, Admin redirects, and browser behavior were not executed.</t>
        </is>
      </c>
    </row>
    <row r="20" ht="121.05" customHeight="1">
      <c r="A20" s="39" t="inlineStr">
        <is>
          <t>AUTH-008</t>
        </is>
      </c>
      <c r="B20" s="40" t="inlineStr">
        <is>
          <t>[Mọi role] Login invalid</t>
        </is>
      </c>
      <c r="C20" s="40" t="inlineStr">
        <is>
          <t>1. Sai password
2. email lạ
3. rỗng
4. SQL/XSS</t>
        </is>
      </c>
      <c r="D20" s="133" t="inlineStr">
        <is>
          <t>401/validation; message không tiết lộ account; không login</t>
        </is>
      </c>
      <c r="E20" s="133" t="inlineStr">
        <is>
          <t>Account exists</t>
        </is>
      </c>
      <c r="F20" s="169" t="inlineStr">
        <is>
          <t>Pending</t>
        </is>
      </c>
      <c r="G20" s="170" t="n">
        <v>46229</v>
      </c>
      <c r="H20" s="39" t="inlineStr">
        <is>
          <t>Codex QA</t>
        </is>
      </c>
      <c r="I20" s="39" t="inlineStr">
        <is>
          <t>Pending</t>
        </is>
      </c>
      <c r="J20" s="39" t="n"/>
      <c r="K20" s="39" t="n"/>
      <c r="L20" s="39" t="inlineStr">
        <is>
          <t>Pending</t>
        </is>
      </c>
      <c r="M20" s="39" t="n"/>
      <c r="N20" s="39" t="n"/>
      <c r="O20" s="42" t="inlineStr">
        <is>
          <t>Test Data: invalid set
Priority: P0
Type: Negative, Security
ROUND 1 ACTUAL RESULT (26 Jul 2026): PARTIALLY EXECUTED — AuthControllerIntegrationTest passed valid and bad-credential cases; empty, SQL/XSS, and all-role UI cases were not executed.</t>
        </is>
      </c>
    </row>
    <row r="21" ht="121.05" customHeight="1">
      <c r="A21" s="39" t="inlineStr">
        <is>
          <t>AUTH-009</t>
        </is>
      </c>
      <c r="B21" s="40" t="inlineStr">
        <is>
          <t>[Mọi role] Lock/suspend/deleted</t>
        </is>
      </c>
      <c r="C21" s="40" t="inlineStr">
        <is>
          <t>Login</t>
        </is>
      </c>
      <c r="D21" s="133" t="inlineStr">
        <is>
          <t>Bị từ chối; không cấp token; lý do phù hợp không lộ dữ liệu nhạy cảm</t>
        </is>
      </c>
      <c r="E21" s="133" t="inlineStr">
        <is>
          <t>Account locked/suspended/deleted</t>
        </is>
      </c>
      <c r="F21" s="169" t="inlineStr">
        <is>
          <t>Pending</t>
        </is>
      </c>
      <c r="G21" s="170" t="n">
        <v>46229</v>
      </c>
      <c r="H21" s="39" t="inlineStr">
        <is>
          <t>Codex QA</t>
        </is>
      </c>
      <c r="I21" s="39" t="inlineStr">
        <is>
          <t>Pending</t>
        </is>
      </c>
      <c r="J21" s="39" t="n"/>
      <c r="K21" s="39" t="n"/>
      <c r="L21" s="39" t="inlineStr">
        <is>
          <t>Pending</t>
        </is>
      </c>
      <c r="M21" s="39" t="n"/>
      <c r="N21" s="39" t="n"/>
      <c r="O21" s="42" t="inlineStr">
        <is>
          <t>Test Data: accounts by state
Priority: P0
Type: Permission, Security
ROUND 1 ACTUAL RESULT (26 Jul 2026): PARTIALLY EXECUTED — AuthenticationServiceTest passed suspended and locked account checks; deleted account and all-role API/UI coverage remain.</t>
        </is>
      </c>
    </row>
    <row r="22" ht="22" customHeight="1">
      <c r="A22" s="157" t="inlineStr">
        <is>
          <t>Scenario: Staff Auth</t>
        </is>
      </c>
      <c r="B22" s="158" t="n"/>
      <c r="C22" s="159" t="n"/>
      <c r="D22" s="159" t="n"/>
      <c r="E22" s="159" t="n"/>
      <c r="F22" s="159" t="n"/>
      <c r="G22" s="159" t="n"/>
      <c r="H22" s="159" t="n"/>
      <c r="I22" s="159" t="n"/>
      <c r="J22" s="159" t="n"/>
      <c r="K22" s="159" t="n"/>
      <c r="L22" s="159" t="n"/>
      <c r="M22" s="159" t="n"/>
      <c r="N22" s="159" t="n"/>
      <c r="O22" s="160" t="n"/>
    </row>
    <row r="23" ht="121.05" customHeight="1">
      <c r="A23" s="39" t="inlineStr">
        <is>
          <t>AUTH-010</t>
        </is>
      </c>
      <c r="B23" s="40" t="inlineStr">
        <is>
          <t>[Staff] Setup password</t>
        </is>
      </c>
      <c r="C23" s="40" t="inlineStr">
        <is>
          <t>1. Mở setup
2. nhập/confirm password
3. submit</t>
        </is>
      </c>
      <c r="D23" s="133" t="inlineStr">
        <is>
          <t>Password hash lưu; token revoked; login Staff thành công</t>
        </is>
      </c>
      <c r="E23" s="133" t="inlineStr">
        <is>
          <t>Valid setup token</t>
        </is>
      </c>
      <c r="F23" s="169" t="inlineStr">
        <is>
          <t>Pending</t>
        </is>
      </c>
      <c r="G23" s="170" t="n">
        <v>46229</v>
      </c>
      <c r="H23" s="39" t="inlineStr">
        <is>
          <t>Codex QA</t>
        </is>
      </c>
      <c r="I23" s="39" t="inlineStr">
        <is>
          <t>Pending</t>
        </is>
      </c>
      <c r="J23" s="39" t="n"/>
      <c r="K23" s="39" t="n"/>
      <c r="L23" s="39" t="inlineStr">
        <is>
          <t>Pending</t>
        </is>
      </c>
      <c r="M23" s="39" t="n"/>
      <c r="N23" s="39" t="n"/>
      <c r="O23" s="42" t="inlineStr">
        <is>
          <t>Test Data: `PWD-OK`
Priority: P0
Type: Functional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24" ht="121.05" customHeight="1">
      <c r="A24" s="39" t="inlineStr">
        <is>
          <t>AUTH-011</t>
        </is>
      </c>
      <c r="B24" s="40" t="inlineStr">
        <is>
          <t>[Staff] Temp-password workflow</t>
        </is>
      </c>
      <c r="C24" s="40" t="inlineStr">
        <is>
          <t>1. Login temp
2. thử truy cập Staff page
3. đổi password</t>
        </is>
      </c>
      <c r="D24" s="133" t="inlineStr">
        <is>
          <t>Chỉ limited session; buộc đổi; sau đổi temp password hết hiệu lực</t>
        </is>
      </c>
      <c r="E24" s="133" t="inlineStr">
        <is>
          <t>Admin issued temp password</t>
        </is>
      </c>
      <c r="F24" s="169" t="inlineStr">
        <is>
          <t>Pending</t>
        </is>
      </c>
      <c r="G24" s="170" t="n">
        <v>46229</v>
      </c>
      <c r="H24" s="39" t="inlineStr">
        <is>
          <t>Codex QA</t>
        </is>
      </c>
      <c r="I24" s="39" t="inlineStr">
        <is>
          <t>Pending</t>
        </is>
      </c>
      <c r="J24" s="39" t="n"/>
      <c r="K24" s="39" t="n"/>
      <c r="L24" s="39" t="inlineStr">
        <is>
          <t>Pending</t>
        </is>
      </c>
      <c r="M24" s="39" t="n"/>
      <c r="N24" s="39" t="n"/>
      <c r="O24" s="42" t="inlineStr">
        <is>
          <t>Test Data: temp + new
Priority: P0
Type: Security, Integration
ROUND 1 ACTUAL RESULT (26 Jul 2026): PARTIALLY EXECUTED — AuthenticationServiceTest verified limited Staff sessions for temporary passwords; the complete password-change browser workflow remains.</t>
        </is>
      </c>
    </row>
    <row r="25" ht="121.05" customHeight="1">
      <c r="A25" s="39" t="inlineStr">
        <is>
          <t>AUTH-012</t>
        </is>
      </c>
      <c r="B25" s="40" t="inlineStr">
        <is>
          <t>[Staff] Forgot request</t>
        </is>
      </c>
      <c r="C25" s="40" t="inlineStr">
        <is>
          <t>Submit forgot nhiều lần</t>
        </is>
      </c>
      <c r="D25" s="133" t="inlineStr">
        <is>
          <t>Reset request pending duy nhất hợp lệ; Admin thấy request; chống account enumeration</t>
        </is>
      </c>
      <c r="E25" s="133" t="inlineStr">
        <is>
          <t>Active Staff</t>
        </is>
      </c>
      <c r="F25" s="169" t="inlineStr">
        <is>
          <t>Pending</t>
        </is>
      </c>
      <c r="G25" s="170" t="n">
        <v>46229</v>
      </c>
      <c r="H25" s="39" t="inlineStr">
        <is>
          <t>Codex QA</t>
        </is>
      </c>
      <c r="I25" s="39" t="inlineStr">
        <is>
          <t>Pending</t>
        </is>
      </c>
      <c r="J25" s="39" t="n"/>
      <c r="K25" s="39" t="n"/>
      <c r="L25" s="39" t="inlineStr">
        <is>
          <t>Pending</t>
        </is>
      </c>
      <c r="M25" s="39" t="n"/>
      <c r="N25" s="39" t="n"/>
      <c r="O25" s="42" t="inlineStr">
        <is>
          <t>Test Data: staff email
Priority: P1
Type: Functional, Security
ROUND 1 ACTUAL RESULT (26 Jul 2026): PENDING — The relevant external provider/file-delivery workflow was not available as a complete System Test environment. Mocked automated checks passed where present.</t>
        </is>
      </c>
    </row>
    <row r="26" ht="22" customHeight="1">
      <c r="A26" s="157" t="inlineStr">
        <is>
          <t>Scenario: Auth</t>
        </is>
      </c>
      <c r="B26" s="158" t="n"/>
      <c r="C26" s="159" t="n"/>
      <c r="D26" s="159" t="n"/>
      <c r="E26" s="159" t="n"/>
      <c r="F26" s="159" t="n"/>
      <c r="G26" s="159" t="n"/>
      <c r="H26" s="159" t="n"/>
      <c r="I26" s="159" t="n"/>
      <c r="J26" s="159" t="n"/>
      <c r="K26" s="159" t="n"/>
      <c r="L26" s="159" t="n"/>
      <c r="M26" s="159" t="n"/>
      <c r="N26" s="159" t="n"/>
      <c r="O26" s="160" t="n"/>
    </row>
    <row r="27" ht="121.05" customHeight="1">
      <c r="A27" s="39" t="inlineStr">
        <is>
          <t>AUTH-013</t>
        </is>
      </c>
      <c r="B27" s="40" t="inlineStr">
        <is>
          <t>[Khách] Forgot/reset Student</t>
        </is>
      </c>
      <c r="C27" s="40" t="inlineStr">
        <is>
          <t>1. Request reset
2. dùng token
3. login password mới</t>
        </is>
      </c>
      <c r="D27" s="133" t="inlineStr">
        <is>
          <t>Email gửi; password đổi; reset token one-time; phiên cũ xử lý theo policy</t>
        </is>
      </c>
      <c r="E27" s="133" t="inlineStr">
        <is>
          <t>Verified Student</t>
        </is>
      </c>
      <c r="F27" s="169" t="inlineStr">
        <is>
          <t>Pending</t>
        </is>
      </c>
      <c r="G27" s="170" t="n">
        <v>46229</v>
      </c>
      <c r="H27" s="39" t="inlineStr">
        <is>
          <t>Codex QA</t>
        </is>
      </c>
      <c r="I27" s="39" t="inlineStr">
        <is>
          <t>Pending</t>
        </is>
      </c>
      <c r="J27" s="39" t="n"/>
      <c r="K27" s="39" t="n"/>
      <c r="L27" s="39" t="inlineStr">
        <is>
          <t>Pending</t>
        </is>
      </c>
      <c r="M27" s="39" t="n"/>
      <c r="N27" s="39" t="n"/>
      <c r="O27" s="42" t="inlineStr">
        <is>
          <t>Test Data: valid token
Priority: P0
Type: Functional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28" ht="121.05" customHeight="1">
      <c r="A28" s="39" t="inlineStr">
        <is>
          <t>AUTH-014</t>
        </is>
      </c>
      <c r="B28" s="40" t="inlineStr">
        <is>
          <t>[Khách] Reset invalid</t>
        </is>
      </c>
      <c r="C28" s="40" t="inlineStr">
        <is>
          <t>Submit password mới</t>
        </is>
      </c>
      <c r="D28" s="133" t="inlineStr">
        <is>
          <t>Không đổi password; 400/401; audit/log không chứa token/password</t>
        </is>
      </c>
      <c r="E28" s="133" t="inlineStr">
        <is>
          <t>Reset token invalid/expired</t>
        </is>
      </c>
      <c r="F28" s="169" t="inlineStr">
        <is>
          <t>Pending</t>
        </is>
      </c>
      <c r="G28" s="170" t="n">
        <v>46229</v>
      </c>
      <c r="H28" s="39" t="inlineStr">
        <is>
          <t>Codex QA</t>
        </is>
      </c>
      <c r="I28" s="39" t="inlineStr">
        <is>
          <t>Pending</t>
        </is>
      </c>
      <c r="J28" s="39" t="n"/>
      <c r="K28" s="39" t="n"/>
      <c r="L28" s="39" t="inlineStr">
        <is>
          <t>Pending</t>
        </is>
      </c>
      <c r="M28" s="39" t="n"/>
      <c r="N28" s="39" t="n"/>
      <c r="O28" s="42" t="inlineStr">
        <is>
          <t>Test Data: expired/tampered token
Priority: P1
Type: Negative, Security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29" ht="121.05" customHeight="1">
      <c r="A29" s="39" t="inlineStr">
        <is>
          <t>AUTH-015</t>
        </is>
      </c>
      <c r="B29" s="40" t="inlineStr">
        <is>
          <t>[Student] Google OAuth</t>
        </is>
      </c>
      <c r="C29" s="40" t="inlineStr">
        <is>
          <t>Login Google lần đầu và lần sau</t>
        </is>
      </c>
      <c r="D29" s="133" t="inlineStr">
        <is>
          <t>Account link/create đúng; unique provider ID; JWT Student được cấp</t>
        </is>
      </c>
      <c r="E29" s="133" t="inlineStr">
        <is>
          <t>OAuth test account</t>
        </is>
      </c>
      <c r="F29" s="169" t="inlineStr">
        <is>
          <t>Pending</t>
        </is>
      </c>
      <c r="G29" s="170" t="n">
        <v>46229</v>
      </c>
      <c r="H29" s="39" t="inlineStr">
        <is>
          <t>Codex QA</t>
        </is>
      </c>
      <c r="I29" s="39" t="inlineStr">
        <is>
          <t>Pending</t>
        </is>
      </c>
      <c r="J29" s="39" t="n"/>
      <c r="K29" s="39" t="n"/>
      <c r="L29" s="39" t="inlineStr">
        <is>
          <t>Pending</t>
        </is>
      </c>
      <c r="M29" s="39" t="n"/>
      <c r="N29" s="39" t="n"/>
      <c r="O29" s="42" t="inlineStr">
        <is>
          <t>Test Data: valid Google token
Priority: P1
Type: Integration
ROUND 1 ACTUAL RESULT (26 Jul 2026): PENDING — The relevant external provider/file-delivery workflow was not available as a complete System Test environment. Mocked automated checks passed where present.</t>
        </is>
      </c>
    </row>
    <row r="30" ht="121.05" customHeight="1">
      <c r="A30" s="39" t="inlineStr">
        <is>
          <t>AUTH-016</t>
        </is>
      </c>
      <c r="B30" s="40" t="inlineStr">
        <is>
          <t>[Khách] Google token attack</t>
        </is>
      </c>
      <c r="C30" s="40" t="inlineStr">
        <is>
          <t>Gửi fake token/wrong audience/email collision</t>
        </is>
      </c>
      <c r="D30" s="133" t="inlineStr">
        <is>
          <t>401/409; không takeover/link sai account</t>
        </is>
      </c>
      <c r="E30" s="133" t="inlineStr">
        <is>
          <t>None</t>
        </is>
      </c>
      <c r="F30" s="169" t="inlineStr">
        <is>
          <t>Pending</t>
        </is>
      </c>
      <c r="G30" s="170" t="n">
        <v>46229</v>
      </c>
      <c r="H30" s="39" t="inlineStr">
        <is>
          <t>Codex QA</t>
        </is>
      </c>
      <c r="I30" s="39" t="inlineStr">
        <is>
          <t>Pending</t>
        </is>
      </c>
      <c r="J30" s="39" t="n"/>
      <c r="K30" s="39" t="n"/>
      <c r="L30" s="39" t="inlineStr">
        <is>
          <t>Pending</t>
        </is>
      </c>
      <c r="M30" s="39" t="n"/>
      <c r="N30" s="39" t="n"/>
      <c r="O30" s="42" t="inlineStr">
        <is>
          <t>Test Data: forged token
Priority: P0
Type: Security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31" ht="22" customHeight="1">
      <c r="A31" s="157" t="inlineStr">
        <is>
          <t>Scenario: Session</t>
        </is>
      </c>
      <c r="B31" s="158" t="n"/>
      <c r="C31" s="159" t="n"/>
      <c r="D31" s="159" t="n"/>
      <c r="E31" s="159" t="n"/>
      <c r="F31" s="159" t="n"/>
      <c r="G31" s="159" t="n"/>
      <c r="H31" s="159" t="n"/>
      <c r="I31" s="159" t="n"/>
      <c r="J31" s="159" t="n"/>
      <c r="K31" s="159" t="n"/>
      <c r="L31" s="159" t="n"/>
      <c r="M31" s="159" t="n"/>
      <c r="N31" s="159" t="n"/>
      <c r="O31" s="160" t="n"/>
    </row>
    <row r="32" ht="121.05" customHeight="1">
      <c r="A32" s="39" t="inlineStr">
        <is>
          <t>AUTH-017</t>
        </is>
      </c>
      <c r="B32" s="40" t="inlineStr">
        <is>
          <t>[Mọi role] Refresh positive</t>
        </is>
      </c>
      <c r="C32" s="40" t="inlineStr">
        <is>
          <t>1. Hết access
2. gọi protected API
3. refresh
4. retry</t>
        </is>
      </c>
      <c r="D32" s="133" t="inlineStr">
        <is>
          <t>Access mới hợp lệ; request retry thành công; refresh actor không đổi</t>
        </is>
      </c>
      <c r="E32" s="133" t="inlineStr">
        <is>
          <t>Valid refresh token</t>
        </is>
      </c>
      <c r="F32" s="169" t="inlineStr">
        <is>
          <t>Pending</t>
        </is>
      </c>
      <c r="G32" s="170" t="n">
        <v>46229</v>
      </c>
      <c r="H32" s="39" t="inlineStr">
        <is>
          <t>Codex QA</t>
        </is>
      </c>
      <c r="I32" s="39" t="inlineStr">
        <is>
          <t>Pending</t>
        </is>
      </c>
      <c r="J32" s="39" t="n"/>
      <c r="K32" s="39" t="n"/>
      <c r="L32" s="39" t="inlineStr">
        <is>
          <t>Pending</t>
        </is>
      </c>
      <c r="M32" s="39" t="n"/>
      <c r="N32" s="39" t="n"/>
      <c r="O32" s="42" t="inlineStr">
        <is>
          <t>Test Data: valid refresh
Priority: P0
Type: Functional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33" ht="121.05" customHeight="1">
      <c r="A33" s="39" t="inlineStr">
        <is>
          <t>AUTH-018</t>
        </is>
      </c>
      <c r="B33" s="40" t="inlineStr">
        <is>
          <t>[Mọi role] Refresh invalid/replay</t>
        </is>
      </c>
      <c r="C33" s="40" t="inlineStr">
        <is>
          <t>Gọi refresh đồng thời/replay</t>
        </is>
      </c>
      <c r="D33" s="133" t="inlineStr">
        <is>
          <t>401; không cấp token; rotation/revocation theo code; không đổi role</t>
        </is>
      </c>
      <c r="E33" s="133" t="inlineStr">
        <is>
          <t>Expired/revoked/wrong-signature</t>
        </is>
      </c>
      <c r="F33" s="169" t="inlineStr">
        <is>
          <t>Pending</t>
        </is>
      </c>
      <c r="G33" s="170" t="n">
        <v>46229</v>
      </c>
      <c r="H33" s="39" t="inlineStr">
        <is>
          <t>Codex QA</t>
        </is>
      </c>
      <c r="I33" s="39" t="inlineStr">
        <is>
          <t>Pending</t>
        </is>
      </c>
      <c r="J33" s="39" t="n"/>
      <c r="K33" s="39" t="n"/>
      <c r="L33" s="39" t="inlineStr">
        <is>
          <t>Pending</t>
        </is>
      </c>
      <c r="M33" s="39" t="n"/>
      <c r="N33" s="39" t="n"/>
      <c r="O33" s="42" t="inlineStr">
        <is>
          <t>Test Data: `JWT-X`
Priority: P0
Type: Security, Concurrent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34" ht="121.05" customHeight="1">
      <c r="A34" s="39" t="inlineStr">
        <is>
          <t>AUTH-019</t>
        </is>
      </c>
      <c r="B34" s="40" t="inlineStr">
        <is>
          <t>[Mọi role] Logout</t>
        </is>
      </c>
      <c r="C34" s="40" t="inlineStr">
        <is>
          <t>1. Logout
2. dùng lại access/refresh</t>
        </is>
      </c>
      <c r="D34" s="133" t="inlineStr">
        <is>
          <t>Refresh/session bị revoke theo policy; UI xóa session và về Login</t>
        </is>
      </c>
      <c r="E34" s="133" t="inlineStr">
        <is>
          <t>Logged in</t>
        </is>
      </c>
      <c r="F34" s="169" t="inlineStr">
        <is>
          <t>Pending</t>
        </is>
      </c>
      <c r="G34" s="170" t="n">
        <v>46229</v>
      </c>
      <c r="H34" s="39" t="inlineStr">
        <is>
          <t>Codex QA</t>
        </is>
      </c>
      <c r="I34" s="39" t="inlineStr">
        <is>
          <t>Pending</t>
        </is>
      </c>
      <c r="J34" s="39" t="n"/>
      <c r="K34" s="39" t="n"/>
      <c r="L34" s="39" t="inlineStr">
        <is>
          <t>Pending</t>
        </is>
      </c>
      <c r="M34" s="39" t="n"/>
      <c r="N34" s="39" t="n"/>
      <c r="O34" s="42" t="inlineStr">
        <is>
          <t>Test Data: tokens
Priority: P0
Type: Functional, Security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35" ht="121.05" customHeight="1">
      <c r="A35" s="39" t="inlineStr">
        <is>
          <t>AUTH-020</t>
        </is>
      </c>
      <c r="B35" s="40" t="inlineStr">
        <is>
          <t>[Mọi role] Timeout</t>
        </is>
      </c>
      <c r="C35" s="40" t="inlineStr">
        <is>
          <t>1. Điều khiển clock qua expiry
2. thao tác UI/API</t>
        </is>
      </c>
      <c r="D35" s="133" t="inlineStr">
        <is>
          <t>401; refresh nếu còn hạn, nếu không thì login; không mất form ngoài thông báo hợp lý</t>
        </is>
      </c>
      <c r="E35" s="133" t="inlineStr">
        <is>
          <t>Session gần hết hạn</t>
        </is>
      </c>
      <c r="F35" s="169" t="inlineStr">
        <is>
          <t>Pending</t>
        </is>
      </c>
      <c r="G35" s="170" t="n">
        <v>46229</v>
      </c>
      <c r="H35" s="39" t="inlineStr">
        <is>
          <t>Codex QA</t>
        </is>
      </c>
      <c r="I35" s="39" t="inlineStr">
        <is>
          <t>Pending</t>
        </is>
      </c>
      <c r="J35" s="39" t="n"/>
      <c r="K35" s="39" t="n"/>
      <c r="L35" s="39" t="inlineStr">
        <is>
          <t>Pending</t>
        </is>
      </c>
      <c r="M35" s="39" t="n"/>
      <c r="N35" s="39" t="n"/>
      <c r="O35" s="42" t="inlineStr">
        <is>
          <t>Test Data: expired access/refresh
Priority: P0
Type: Security, UI
ROUND 1 ACTUAL RESULT (26 Jul 2026): PENDING — Frontend unit tests, lint, and production build passed, but no Playwright/Cypress browser runner is configured for this end-to-end UI scenario.</t>
        </is>
      </c>
    </row>
    <row r="36" ht="22" customHeight="1">
      <c r="A36" s="157" t="inlineStr">
        <is>
          <t>Scenario: Security</t>
        </is>
      </c>
      <c r="B36" s="158" t="n"/>
      <c r="C36" s="159" t="n"/>
      <c r="D36" s="159" t="n"/>
      <c r="E36" s="159" t="n"/>
      <c r="F36" s="159" t="n"/>
      <c r="G36" s="159" t="n"/>
      <c r="H36" s="159" t="n"/>
      <c r="I36" s="159" t="n"/>
      <c r="J36" s="159" t="n"/>
      <c r="K36" s="159" t="n"/>
      <c r="L36" s="159" t="n"/>
      <c r="M36" s="159" t="n"/>
      <c r="N36" s="159" t="n"/>
      <c r="O36" s="160" t="n"/>
    </row>
    <row r="37" ht="121.05" customHeight="1">
      <c r="A37" s="39" t="inlineStr">
        <is>
          <t>AUTH-021</t>
        </is>
      </c>
      <c r="B37" s="40" t="inlineStr">
        <is>
          <t>[Mọi role] JWT manipulation</t>
        </is>
      </c>
      <c r="C37" s="40" t="inlineStr">
        <is>
          <t>1. Sửa role/sub/expiry
2. đổi alg
3. dùng token actor khác</t>
        </is>
      </c>
      <c r="D37" s="133" t="inlineStr">
        <is>
          <t>Tất cả bị 401/403; không truy cập hoặc ghi DB</t>
        </is>
      </c>
      <c r="E37" s="133" t="inlineStr">
        <is>
          <t>Any valid token</t>
        </is>
      </c>
      <c r="F37" s="169" t="inlineStr">
        <is>
          <t>Pending</t>
        </is>
      </c>
      <c r="G37" s="170" t="n">
        <v>46229</v>
      </c>
      <c r="H37" s="39" t="inlineStr">
        <is>
          <t>Codex QA</t>
        </is>
      </c>
      <c r="I37" s="39" t="inlineStr">
        <is>
          <t>Pending</t>
        </is>
      </c>
      <c r="J37" s="39" t="n"/>
      <c r="K37" s="39" t="n"/>
      <c r="L37" s="39" t="inlineStr">
        <is>
          <t>Pending</t>
        </is>
      </c>
      <c r="M37" s="39" t="n"/>
      <c r="N37" s="39" t="n"/>
      <c r="O37" s="42" t="inlineStr">
        <is>
          <t>Test Data: tampered tokens
Priority: P0
Type: Security
ROUND 1 ACTUAL RESULT (26 Jul 2026): PARTIALLY EXECUTED — JwtProviderTest passed access/refresh token validation and invalid-token rejection; the complete claim/algorithm manipulation matrix remains.</t>
        </is>
      </c>
    </row>
    <row r="38" ht="22" customHeight="1">
      <c r="A38" s="157" t="inlineStr">
        <is>
          <t>Scenario: Route Guard</t>
        </is>
      </c>
      <c r="B38" s="158" t="n"/>
      <c r="C38" s="159" t="n"/>
      <c r="D38" s="159" t="n"/>
      <c r="E38" s="159" t="n"/>
      <c r="F38" s="159" t="n"/>
      <c r="G38" s="159" t="n"/>
      <c r="H38" s="159" t="n"/>
      <c r="I38" s="159" t="n"/>
      <c r="J38" s="159" t="n"/>
      <c r="K38" s="159" t="n"/>
      <c r="L38" s="159" t="n"/>
      <c r="M38" s="159" t="n"/>
      <c r="N38" s="159" t="n"/>
      <c r="O38" s="160" t="n"/>
    </row>
    <row r="39" ht="121.05" customHeight="1">
      <c r="A39" s="39" t="inlineStr">
        <is>
          <t>AUTH-022</t>
        </is>
      </c>
      <c r="B39" s="40" t="inlineStr">
        <is>
          <t>[Khách] Direct protected URL</t>
        </is>
      </c>
      <c r="C39" s="40" t="inlineStr">
        <is>
          <t>Mở từng route protected bằng URL</t>
        </is>
      </c>
      <c r="D39" s="133" t="inlineStr">
        <is>
          <t>Redirect Login/403; không render dữ liệu protected trước redirect</t>
        </is>
      </c>
      <c r="E39" s="133" t="inlineStr">
        <is>
          <t>Logged out</t>
        </is>
      </c>
      <c r="F39" s="169" t="inlineStr">
        <is>
          <t>Pending</t>
        </is>
      </c>
      <c r="G39" s="170" t="n">
        <v>46229</v>
      </c>
      <c r="H39" s="39" t="inlineStr">
        <is>
          <t>Codex QA</t>
        </is>
      </c>
      <c r="I39" s="39" t="inlineStr">
        <is>
          <t>Pending</t>
        </is>
      </c>
      <c r="J39" s="39" t="n"/>
      <c r="K39" s="39" t="n"/>
      <c r="L39" s="39" t="inlineStr">
        <is>
          <t>Pending</t>
        </is>
      </c>
      <c r="M39" s="39" t="n"/>
      <c r="N39" s="39" t="n"/>
      <c r="O39" s="42" t="inlineStr">
        <is>
          <t>Test Data: route inventory
Priority: P0
Type: Permission, UI
ROUND 1 ACTUAL RESULT (26 Jul 2026): PENDING — Frontend unit tests, lint, and production build passed, but no Playwright/Cypress browser runner is configured for this end-to-end UI scenario.</t>
        </is>
      </c>
    </row>
  </sheetData>
  <autoFilter ref="A10:O39"/>
  <mergeCells count="3">
    <mergeCell ref="B3:E3"/>
    <mergeCell ref="B2:E2"/>
    <mergeCell ref="B4:E4"/>
  </mergeCells>
  <dataValidations disablePrompts="1" count="2">
    <dataValidation sqref="F12:F19 G2:G3 G9 G20:G147 I12:I19 J2:J3 J9 J20:J147 L12:L19 M2:M3 M9 M20:M147" showDropDown="0" showInputMessage="0" showErrorMessage="1" allowBlank="1" type="list">
      <formula1>$R$2:$R$5</formula1>
      <formula2>0</formula2>
    </dataValidation>
    <dataValidation sqref="F10 I10 L10" showDropDown="0" showInputMessage="0" showErrorMessage="1" allowBlank="1"/>
  </dataValidations>
  <pageMargins left="0.7479166666666667" right="0.25" top="0.75" bottom="0.9840277777777777" header="0.5" footer="0.5"/>
  <pageSetup orientation="landscape" paperSize="9" fitToWidth="1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2:R73"/>
  <sheetViews>
    <sheetView showGridLines="0" zoomScale="85" zoomScaleNormal="85" workbookViewId="0">
      <pane ySplit="10" topLeftCell="A11" activePane="bottomLeft" state="frozen"/>
      <selection pane="bottomLeft" activeCell="G1" sqref="G1"/>
    </sheetView>
  </sheetViews>
  <sheetFormatPr baseColWidth="8" defaultColWidth="9" defaultRowHeight="12.75" outlineLevelRow="1"/>
  <cols>
    <col width="16" customWidth="1" style="1" min="1" max="1"/>
    <col width="34" customWidth="1" style="1" min="2" max="2"/>
    <col width="48" customWidth="1" style="1" min="3" max="3"/>
    <col width="48" customWidth="1" style="1" min="4" max="4"/>
    <col width="32" customWidth="1" style="1" min="5" max="5"/>
    <col width="12" customWidth="1" style="1" min="6" max="6"/>
    <col outlineLevel="1" width="14" customWidth="1" style="1" min="7" max="7"/>
    <col outlineLevel="1" width="18" bestFit="1" customWidth="1" style="1" min="8" max="8"/>
    <col width="12" customWidth="1" style="1" min="9" max="9"/>
    <col outlineLevel="1" width="14" customWidth="1" style="1" min="10" max="10"/>
    <col outlineLevel="1" width="18" bestFit="1" customWidth="1" style="1" min="11" max="11"/>
    <col width="12" customWidth="1" style="1" min="12" max="12"/>
    <col outlineLevel="1" width="14" customWidth="1" style="1" min="13" max="13"/>
    <col outlineLevel="1" width="18" bestFit="1" customWidth="1" style="1" min="14" max="14"/>
    <col width="34" customWidth="1" style="1" min="15" max="15"/>
    <col width="10.1328125" customWidth="1" style="1" min="16" max="16"/>
    <col width="8.1328125" customWidth="1" style="28" min="17" max="17"/>
    <col hidden="1" width="7.6640625" customWidth="1" style="1" min="18" max="18"/>
    <col width="9" customWidth="1" style="1" min="19" max="16384"/>
  </cols>
  <sheetData>
    <row r="1" ht="13.15" customHeight="1" thickBot="1"/>
    <row r="2" ht="15" customFormat="1" customHeight="1" s="30">
      <c r="A2" s="92" t="inlineStr">
        <is>
          <t>Workflow</t>
        </is>
      </c>
      <c r="B2" s="139" t="inlineStr">
        <is>
          <t>Student</t>
        </is>
      </c>
      <c r="C2" s="153" t="n"/>
      <c r="D2" s="153" t="n"/>
      <c r="E2" s="154" t="n"/>
      <c r="F2" s="82" t="n"/>
      <c r="G2" s="76" t="n"/>
      <c r="H2" s="9" t="n"/>
      <c r="I2" s="82" t="n"/>
      <c r="J2" s="76" t="n"/>
      <c r="K2" s="9" t="n"/>
      <c r="L2" s="82" t="n"/>
      <c r="M2" s="76" t="n"/>
      <c r="N2" s="9" t="n"/>
      <c r="O2" s="9" t="n"/>
      <c r="P2" s="9" t="n"/>
      <c r="Q2" s="29" t="n"/>
      <c r="R2" s="30" t="inlineStr">
        <is>
          <t>Passed</t>
        </is>
      </c>
    </row>
    <row r="3" customFormat="1" s="30">
      <c r="A3" s="93" t="inlineStr">
        <is>
          <t>Test requirement</t>
        </is>
      </c>
      <c r="B3" s="141" t="inlineStr">
        <is>
          <t>Student learning, profile, assessment, support and notification</t>
        </is>
      </c>
      <c r="C3" s="155" t="n"/>
      <c r="D3" s="155" t="n"/>
      <c r="E3" s="156" t="n"/>
      <c r="F3" s="82" t="n"/>
      <c r="G3" s="76" t="n"/>
      <c r="H3" s="9" t="n"/>
      <c r="I3" s="82" t="n"/>
      <c r="J3" s="76" t="n"/>
      <c r="K3" s="9" t="n"/>
      <c r="L3" s="82" t="n"/>
      <c r="M3" s="76" t="n"/>
      <c r="N3" s="9" t="n"/>
      <c r="O3" s="9" t="n"/>
      <c r="P3" s="9" t="n"/>
      <c r="Q3" s="29" t="n"/>
      <c r="R3" s="30" t="inlineStr">
        <is>
          <t>Failed</t>
        </is>
      </c>
    </row>
    <row r="4" ht="18" customFormat="1" customHeight="1" s="30">
      <c r="A4" s="93" t="inlineStr">
        <is>
          <t>Number of TCs</t>
        </is>
      </c>
      <c r="B4" s="141">
        <f>COUNTA(A12:A1000)</f>
        <v/>
      </c>
      <c r="C4" s="155" t="n"/>
      <c r="D4" s="155" t="n"/>
      <c r="E4" s="156" t="n"/>
      <c r="F4" s="82" t="n"/>
      <c r="G4" s="76" t="n"/>
      <c r="H4" s="9" t="n"/>
      <c r="I4" s="82" t="n"/>
      <c r="J4" s="76" t="n"/>
      <c r="K4" s="9" t="n"/>
      <c r="L4" s="82" t="n"/>
      <c r="M4" s="76" t="n"/>
      <c r="N4" s="9" t="n"/>
      <c r="O4" s="9" t="n"/>
      <c r="P4" s="9" t="n"/>
      <c r="Q4" s="29" t="n"/>
      <c r="R4" s="30" t="inlineStr">
        <is>
          <t>Pending</t>
        </is>
      </c>
    </row>
    <row r="5" ht="19.5" customFormat="1" customHeight="1" s="30">
      <c r="A5" s="86" t="inlineStr">
        <is>
          <t>Testing Round</t>
        </is>
      </c>
      <c r="B5" s="84" t="inlineStr">
        <is>
          <t>Passed</t>
        </is>
      </c>
      <c r="C5" s="84" t="inlineStr">
        <is>
          <t>Failed</t>
        </is>
      </c>
      <c r="D5" s="84" t="inlineStr">
        <is>
          <t>Pending</t>
        </is>
      </c>
      <c r="E5" s="87" t="inlineStr">
        <is>
          <t>N/A</t>
        </is>
      </c>
      <c r="F5" s="77" t="n"/>
      <c r="G5" s="77" t="n"/>
      <c r="H5" s="31" t="n"/>
      <c r="I5" s="77" t="n"/>
      <c r="J5" s="77" t="n"/>
      <c r="K5" s="31" t="n"/>
      <c r="L5" s="77" t="n"/>
      <c r="M5" s="77" t="n"/>
      <c r="N5" s="31" t="n"/>
      <c r="O5" s="31" t="n"/>
      <c r="P5" s="31" t="n"/>
      <c r="Q5" s="32" t="n"/>
      <c r="R5" s="30" t="inlineStr">
        <is>
          <t>N/A</t>
        </is>
      </c>
    </row>
    <row r="6" ht="15" customFormat="1" customHeight="1" s="30">
      <c r="A6" s="86" t="inlineStr">
        <is>
          <t>Round 1</t>
        </is>
      </c>
      <c r="B6" s="85">
        <f>COUNTIF($F$12:$F$1000,"Passed")</f>
        <v/>
      </c>
      <c r="C6" s="85">
        <f>COUNTIF($F$12:$F$1000,"Failed")</f>
        <v/>
      </c>
      <c r="D6" s="85">
        <f>COUNTIF($F$12:$F$1000,"Pending")</f>
        <v/>
      </c>
      <c r="E6" s="91">
        <f>COUNTIF($F$12:$F$1000,"N/A")</f>
        <v/>
      </c>
      <c r="F6" s="78" t="n"/>
      <c r="G6" s="78" t="n"/>
      <c r="H6" s="31" t="n"/>
      <c r="I6" s="78" t="n"/>
      <c r="J6" s="78" t="n"/>
      <c r="K6" s="31" t="n"/>
      <c r="L6" s="78" t="n"/>
      <c r="M6" s="78" t="n"/>
      <c r="N6" s="31" t="n"/>
      <c r="O6" s="31" t="n"/>
      <c r="P6" s="31" t="n"/>
      <c r="Q6" s="32" t="n"/>
    </row>
    <row r="7" ht="15" customFormat="1" customHeight="1" s="30">
      <c r="A7" s="86" t="inlineStr">
        <is>
          <t>Round 2</t>
        </is>
      </c>
      <c r="B7" s="85">
        <f>COUNTIF($I$12:$I$1000,"Passed")</f>
        <v/>
      </c>
      <c r="C7" s="85">
        <f>COUNTIF($I$12:$I$1000,"Failed")</f>
        <v/>
      </c>
      <c r="D7" s="85">
        <f>COUNTIF($I$12:$I$1000,"Pending")</f>
        <v/>
      </c>
      <c r="E7" s="91">
        <f>COUNTIF($I$12:$I$1000,"N/A")</f>
        <v/>
      </c>
      <c r="F7" s="78" t="n"/>
      <c r="G7" s="78" t="n"/>
      <c r="H7" s="31" t="n"/>
      <c r="I7" s="78" t="n"/>
      <c r="J7" s="78" t="n"/>
      <c r="K7" s="31" t="n"/>
      <c r="L7" s="78" t="n"/>
      <c r="M7" s="78" t="n"/>
      <c r="N7" s="31" t="n"/>
      <c r="O7" s="31" t="n"/>
      <c r="P7" s="31" t="n"/>
      <c r="Q7" s="32" t="n"/>
    </row>
    <row r="8" ht="15" customFormat="1" customHeight="1" s="30" thickBot="1">
      <c r="A8" s="88" t="inlineStr">
        <is>
          <t>Round 3</t>
        </is>
      </c>
      <c r="B8" s="89">
        <f>COUNTIF($L$12:$L$1000,"Passed")</f>
        <v/>
      </c>
      <c r="C8" s="89">
        <f>COUNTIF($L$12:$L$1000,"Failed")</f>
        <v/>
      </c>
      <c r="D8" s="89">
        <f>COUNTIF($L$12:$L$1000,"Pending")</f>
        <v/>
      </c>
      <c r="E8" s="90">
        <f>COUNTIF($L$12:$L$1000,"N/A")</f>
        <v/>
      </c>
      <c r="F8" s="78" t="n"/>
      <c r="G8" s="78" t="n"/>
      <c r="H8" s="31" t="n"/>
      <c r="I8" s="78" t="n"/>
      <c r="J8" s="78" t="n"/>
      <c r="K8" s="31" t="n"/>
      <c r="L8" s="78" t="n"/>
      <c r="M8" s="78" t="n"/>
      <c r="N8" s="31" t="n"/>
      <c r="O8" s="31" t="n"/>
      <c r="P8" s="31" t="n"/>
      <c r="Q8" s="32" t="n"/>
    </row>
    <row r="9" ht="15" customFormat="1" customHeight="1" s="30">
      <c r="A9" s="31" t="n"/>
      <c r="B9" s="31" t="n"/>
      <c r="C9" s="31" t="n"/>
      <c r="D9" s="31" t="n"/>
      <c r="E9" s="31" t="n"/>
      <c r="F9" s="33" t="n"/>
      <c r="G9" s="31" t="n"/>
      <c r="H9" s="31" t="n"/>
      <c r="I9" s="33" t="n"/>
      <c r="J9" s="31" t="n"/>
      <c r="K9" s="31" t="n"/>
      <c r="L9" s="33" t="n"/>
      <c r="M9" s="31" t="n"/>
      <c r="N9" s="31" t="n"/>
      <c r="O9" s="31" t="n"/>
      <c r="P9" s="31" t="n"/>
      <c r="Q9" s="32" t="n"/>
    </row>
    <row r="10" ht="25.5" customFormat="1" customHeight="1" s="30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 t="n"/>
    </row>
    <row r="11" ht="22" customFormat="1" customHeight="1" s="30">
      <c r="A11" s="157" t="inlineStr">
        <is>
          <t>Scenario: Onboarding</t>
        </is>
      </c>
      <c r="B11" s="158" t="n"/>
      <c r="C11" s="159" t="n"/>
      <c r="D11" s="159" t="n"/>
      <c r="E11" s="159" t="n"/>
      <c r="F11" s="159" t="n"/>
      <c r="G11" s="159" t="n"/>
      <c r="H11" s="159" t="n"/>
      <c r="I11" s="159" t="n"/>
      <c r="J11" s="159" t="n"/>
      <c r="K11" s="159" t="n"/>
      <c r="L11" s="159" t="n"/>
      <c r="M11" s="159" t="n"/>
      <c r="N11" s="159" t="n"/>
      <c r="O11" s="160" t="n"/>
    </row>
    <row r="12" outlineLevel="1" ht="121.05" customFormat="1" customHeight="1" s="44">
      <c r="A12" s="39" t="inlineStr">
        <is>
          <t>STU-001</t>
        </is>
      </c>
      <c r="B12" s="40" t="inlineStr">
        <is>
          <t>[Student] Save goals</t>
        </is>
      </c>
      <c r="C12" s="40" t="inlineStr">
        <is>
          <t>1. Chọn goal/minutes/skills
2. submit
3. reload</t>
        </is>
      </c>
      <c r="D12" s="133" t="inlineStr">
        <is>
          <t>Dữ liệu lưu; dashboard phản ánh; không tạo trùng</t>
        </is>
      </c>
      <c r="E12" s="133" t="inlineStr">
        <is>
          <t>`U-STU-A`, chưa onboarding</t>
        </is>
      </c>
      <c r="F12" s="169" t="inlineStr">
        <is>
          <t>Pending</t>
        </is>
      </c>
      <c r="G12" s="170" t="n">
        <v>46229</v>
      </c>
      <c r="H12" s="39" t="inlineStr">
        <is>
          <t>Codex QA</t>
        </is>
      </c>
      <c r="I12" s="39" t="inlineStr">
        <is>
          <t>Pending</t>
        </is>
      </c>
      <c r="J12" s="39" t="n"/>
      <c r="K12" s="39" t="n"/>
      <c r="L12" s="39" t="inlineStr">
        <is>
          <t>Pending</t>
        </is>
      </c>
      <c r="M12" s="39" t="n"/>
      <c r="N12" s="39" t="n"/>
      <c r="O12" s="42" t="inlineStr">
        <is>
          <t>Test Data: N5, 30 phút
Priority: P1
Type: Functional, Integration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13" outlineLevel="1" ht="121.05" customHeight="1">
      <c r="A13" s="39" t="inlineStr">
        <is>
          <t>STU-002</t>
        </is>
      </c>
      <c r="B13" s="40" t="inlineStr">
        <is>
          <t>[Student] Invalid/boundary</t>
        </is>
      </c>
      <c r="C13" s="40" t="inlineStr">
        <is>
          <t>1. Gửi goal sai, minutes 0/âm/rất lớn, skills lạ
2. bypass UI</t>
        </is>
      </c>
      <c r="D13" s="133" t="inlineStr">
        <is>
          <t>400; không cập nhật DB</t>
        </is>
      </c>
      <c r="E13" s="133" t="inlineStr">
        <is>
          <t>Logged in</t>
        </is>
      </c>
      <c r="F13" s="169" t="inlineStr">
        <is>
          <t>Pending</t>
        </is>
      </c>
      <c r="G13" s="170" t="n">
        <v>46229</v>
      </c>
      <c r="H13" s="39" t="inlineStr">
        <is>
          <t>Codex QA</t>
        </is>
      </c>
      <c r="I13" s="39" t="inlineStr">
        <is>
          <t>Pending</t>
        </is>
      </c>
      <c r="J13" s="39" t="n"/>
      <c r="K13" s="39" t="n"/>
      <c r="L13" s="39" t="inlineStr">
        <is>
          <t>Pending</t>
        </is>
      </c>
      <c r="M13" s="39" t="n"/>
      <c r="N13" s="39" t="n"/>
      <c r="O13" s="42" t="inlineStr">
        <is>
          <t>Test Data: invalid set
Priority: P1
Type: Negative, API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14" outlineLevel="1" ht="22" customHeight="1">
      <c r="A14" s="157" t="inlineStr">
        <is>
          <t>Scenario: Dashboard</t>
        </is>
      </c>
      <c r="B14" s="158" t="n"/>
      <c r="C14" s="159" t="n"/>
      <c r="D14" s="159" t="n"/>
      <c r="E14" s="159" t="n"/>
      <c r="F14" s="159" t="n"/>
      <c r="G14" s="159" t="n"/>
      <c r="H14" s="159" t="n"/>
      <c r="I14" s="159" t="n"/>
      <c r="J14" s="159" t="n"/>
      <c r="K14" s="159" t="n"/>
      <c r="L14" s="159" t="n"/>
      <c r="M14" s="159" t="n"/>
      <c r="N14" s="159" t="n"/>
      <c r="O14" s="160" t="n"/>
    </row>
    <row r="15" ht="121.05" customFormat="1" customHeight="1" s="30">
      <c r="A15" s="39" t="inlineStr">
        <is>
          <t>STU-003</t>
        </is>
      </c>
      <c r="B15" s="40" t="inlineStr">
        <is>
          <t>[Student] Load summary</t>
        </is>
      </c>
      <c r="C15" s="40" t="inlineStr">
        <is>
          <t>1. Mở `/dashboard`
2. kiểm tra stats và next lesson</t>
        </is>
      </c>
      <c r="D15" s="133" t="inlineStr">
        <is>
          <t>Loading→data; số liệu đúng view/query; empty state đúng</t>
        </is>
      </c>
      <c r="E15" s="133" t="inlineStr">
        <is>
          <t>Có/không có activity</t>
        </is>
      </c>
      <c r="F15" s="169" t="inlineStr">
        <is>
          <t>Pending</t>
        </is>
      </c>
      <c r="G15" s="170" t="n">
        <v>46229</v>
      </c>
      <c r="H15" s="39" t="inlineStr">
        <is>
          <t>Codex QA</t>
        </is>
      </c>
      <c r="I15" s="39" t="inlineStr">
        <is>
          <t>Pending</t>
        </is>
      </c>
      <c r="J15" s="39" t="n"/>
      <c r="K15" s="39" t="n"/>
      <c r="L15" s="39" t="inlineStr">
        <is>
          <t>Pending</t>
        </is>
      </c>
      <c r="M15" s="39" t="n"/>
      <c r="N15" s="39" t="n"/>
      <c r="O15" s="42" t="inlineStr">
        <is>
          <t>Test Data: seeded activity
Priority: P0
Type: Smoke, UI, Database
ROUND 1 ACTUAL RESULT (26 Jul 2026): PENDING — Frontend unit tests, lint, and production build passed, but no Playwright/Cypress browser runner is configured for this end-to-end UI scenario.</t>
        </is>
      </c>
    </row>
    <row r="16" outlineLevel="1" ht="22" customHeight="1">
      <c r="A16" s="157" t="inlineStr">
        <is>
          <t>Scenario: Profile</t>
        </is>
      </c>
      <c r="B16" s="158" t="n"/>
      <c r="C16" s="159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  <c r="O16" s="160" t="n"/>
    </row>
    <row r="17" outlineLevel="1" ht="121.05" customHeight="1">
      <c r="A17" s="39" t="inlineStr">
        <is>
          <t>STU-004</t>
        </is>
      </c>
      <c r="B17" s="40" t="inlineStr">
        <is>
          <t>[Student] View/update</t>
        </is>
      </c>
      <c r="C17" s="40" t="inlineStr">
        <is>
          <t>1. Mở profile
2. sửa name/phone Unicode
3. reload</t>
        </is>
      </c>
      <c r="D17" s="133" t="inlineStr">
        <is>
          <t>GET/PUT đúng account; DB update; validation chiều dài/phone</t>
        </is>
      </c>
      <c r="E17" s="133" t="inlineStr">
        <is>
          <t>Logged in</t>
        </is>
      </c>
      <c r="F17" s="169" t="inlineStr">
        <is>
          <t>Pending</t>
        </is>
      </c>
      <c r="G17" s="170" t="n">
        <v>46229</v>
      </c>
      <c r="H17" s="39" t="inlineStr">
        <is>
          <t>Codex QA</t>
        </is>
      </c>
      <c r="I17" s="39" t="inlineStr">
        <is>
          <t>Pending</t>
        </is>
      </c>
      <c r="J17" s="39" t="n"/>
      <c r="K17" s="39" t="n"/>
      <c r="L17" s="39" t="inlineStr">
        <is>
          <t>Pending</t>
        </is>
      </c>
      <c r="M17" s="39" t="n"/>
      <c r="N17" s="39" t="n"/>
      <c r="O17" s="42" t="inlineStr">
        <is>
          <t>Test Data: boundary values
Priority: P1
Type: Functional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18" ht="121.05" customHeight="1">
      <c r="A18" s="39" t="inlineStr">
        <is>
          <t>STU-005</t>
        </is>
      </c>
      <c r="B18" s="40" t="inlineStr">
        <is>
          <t>[Student] Avatar upload</t>
        </is>
      </c>
      <c r="C18" s="40" t="inlineStr">
        <is>
          <t>1. Upload ảnh hợp lệ
2. sau đó file xấu/quá lớn/path traversal</t>
        </is>
      </c>
      <c r="D18" s="133" t="inlineStr">
        <is>
          <t>Ảnh hợp lệ hiển thị; file xấu 400/415; không thực thi/ghi ngoài storage</t>
        </is>
      </c>
      <c r="E18" s="133" t="inlineStr">
        <is>
          <t>Logged in</t>
        </is>
      </c>
      <c r="F18" s="169" t="inlineStr">
        <is>
          <t>Pending</t>
        </is>
      </c>
      <c r="G18" s="170" t="n">
        <v>46229</v>
      </c>
      <c r="H18" s="39" t="inlineStr">
        <is>
          <t>Codex QA</t>
        </is>
      </c>
      <c r="I18" s="39" t="inlineStr">
        <is>
          <t>Pending</t>
        </is>
      </c>
      <c r="J18" s="39" t="n"/>
      <c r="K18" s="39" t="n"/>
      <c r="L18" s="39" t="inlineStr">
        <is>
          <t>Pending</t>
        </is>
      </c>
      <c r="M18" s="39" t="n"/>
      <c r="N18" s="39" t="n"/>
      <c r="O18" s="42" t="inlineStr">
        <is>
          <t>Test Data: image + `FILE-BAD`
Priority: P0
Type: Security, Integration
ROUND 1 ACTUAL RESULT (26 Jul 2026): PENDING — The relevant external provider/file-delivery workflow was not available as a complete System Test environment. Mocked automated checks passed where present.</t>
        </is>
      </c>
    </row>
    <row r="19" ht="121.05" customHeight="1">
      <c r="A19" s="39" t="inlineStr">
        <is>
          <t>STU-006</t>
        </is>
      </c>
      <c r="B19" s="40" t="inlineStr">
        <is>
          <t>[Student] Change password</t>
        </is>
      </c>
      <c r="C19" s="40" t="inlineStr">
        <is>
          <t>1. Sai current
2. mismatch
3. password yếu
4. hợp lệ</t>
        </is>
      </c>
      <c r="D19" s="133" t="inlineStr">
        <is>
          <t>Chỉ hợp lệ mới đổi; hash bcrypt; mật khẩu không log/response</t>
        </is>
      </c>
      <c r="E19" s="133" t="inlineStr">
        <is>
          <t>Logged in</t>
        </is>
      </c>
      <c r="F19" s="169" t="inlineStr">
        <is>
          <t>Pending</t>
        </is>
      </c>
      <c r="G19" s="170" t="n">
        <v>46229</v>
      </c>
      <c r="H19" s="39" t="inlineStr">
        <is>
          <t>Codex QA</t>
        </is>
      </c>
      <c r="I19" s="39" t="inlineStr">
        <is>
          <t>Pending</t>
        </is>
      </c>
      <c r="J19" s="39" t="n"/>
      <c r="K19" s="39" t="n"/>
      <c r="L19" s="39" t="inlineStr">
        <is>
          <t>Pending</t>
        </is>
      </c>
      <c r="M19" s="39" t="n"/>
      <c r="N19" s="39" t="n"/>
      <c r="O19" s="42" t="inlineStr">
        <is>
          <t>Test Data: password set
Priority: P0
Type: Security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20" ht="121.05" customHeight="1">
      <c r="A20" s="39" t="inlineStr">
        <is>
          <t>STU-007</t>
        </is>
      </c>
      <c r="B20" s="40" t="inlineStr">
        <is>
          <t>[Student] Change email OTP</t>
        </is>
      </c>
      <c r="C20" s="40" t="inlineStr">
        <is>
          <t>1. Request OTP
2. confirm đúng
3. thử sai/hết hạn/email trùng</t>
        </is>
      </c>
      <c r="D20" s="133" t="inlineStr">
        <is>
          <t>Email đổi sau OTP; unique giữ nguyên; token one-time; audit phù hợp</t>
        </is>
      </c>
      <c r="E20" s="133" t="inlineStr">
        <is>
          <t>Logged in</t>
        </is>
      </c>
      <c r="F20" s="169" t="inlineStr">
        <is>
          <t>Pending</t>
        </is>
      </c>
      <c r="G20" s="170" t="n">
        <v>46229</v>
      </c>
      <c r="H20" s="39" t="inlineStr">
        <is>
          <t>Codex QA</t>
        </is>
      </c>
      <c r="I20" s="39" t="inlineStr">
        <is>
          <t>Pending</t>
        </is>
      </c>
      <c r="J20" s="39" t="n"/>
      <c r="K20" s="39" t="n"/>
      <c r="L20" s="39" t="inlineStr">
        <is>
          <t>Pending</t>
        </is>
      </c>
      <c r="M20" s="39" t="n"/>
      <c r="N20" s="39" t="n"/>
      <c r="O20" s="42" t="inlineStr">
        <is>
          <t>Test Data: email set
Priority: P0
Type: Functional, Security
ROUND 1 ACTUAL RESULT (26 Jul 2026): PENDING — The relevant external provider/file-delivery workflow was not available as a complete System Test environment. Mocked automated checks passed where present.</t>
        </is>
      </c>
    </row>
    <row r="21" ht="22" customHeight="1">
      <c r="A21" s="157" t="inlineStr">
        <is>
          <t>Scenario: Learning</t>
        </is>
      </c>
      <c r="B21" s="158" t="n"/>
      <c r="C21" s="159" t="n"/>
      <c r="D21" s="159" t="n"/>
      <c r="E21" s="159" t="n"/>
      <c r="F21" s="159" t="n"/>
      <c r="G21" s="159" t="n"/>
      <c r="H21" s="159" t="n"/>
      <c r="I21" s="159" t="n"/>
      <c r="J21" s="159" t="n"/>
      <c r="K21" s="159" t="n"/>
      <c r="L21" s="159" t="n"/>
      <c r="M21" s="159" t="n"/>
      <c r="N21" s="159" t="n"/>
      <c r="O21" s="160" t="n"/>
    </row>
    <row r="22" ht="121.05" customHeight="1">
      <c r="A22" s="39" t="inlineStr">
        <is>
          <t>STU-008</t>
        </is>
      </c>
      <c r="B22" s="40" t="inlineStr">
        <is>
          <t>[Student] Course/JLPT list</t>
        </is>
      </c>
      <c r="C22" s="40" t="inlineStr">
        <is>
          <t>1. Mở `/courses`
2. chọn level</t>
        </is>
      </c>
      <c r="D22" s="133" t="inlineStr">
        <is>
          <t>Danh sách lộ trình đúng; không phụ thuộc bảng `courses`; UI responsive</t>
        </is>
      </c>
      <c r="E22" s="133" t="inlineStr">
        <is>
          <t>Published content exists</t>
        </is>
      </c>
      <c r="F22" s="169" t="inlineStr">
        <is>
          <t>Pending</t>
        </is>
      </c>
      <c r="G22" s="170" t="n">
        <v>46229</v>
      </c>
      <c r="H22" s="39" t="inlineStr">
        <is>
          <t>Codex QA</t>
        </is>
      </c>
      <c r="I22" s="39" t="inlineStr">
        <is>
          <t>Pending</t>
        </is>
      </c>
      <c r="J22" s="39" t="n"/>
      <c r="K22" s="39" t="n"/>
      <c r="L22" s="39" t="inlineStr">
        <is>
          <t>Pending</t>
        </is>
      </c>
      <c r="M22" s="39" t="n"/>
      <c r="N22" s="39" t="n"/>
      <c r="O22" s="42" t="inlineStr">
        <is>
          <t>Test Data: N5–N1
Priority: P1
Type: Functional, UI
ROUND 1 ACTUAL RESULT (26 Jul 2026): PARTIALLY EXECUTED — CourseServiceTest passed five-level ordering, default-level, missing-user, and progress mapping; browser/responsive checks remain.</t>
        </is>
      </c>
    </row>
    <row r="23" ht="22" customHeight="1">
      <c r="A23" s="157" t="inlineStr">
        <is>
          <t>Scenario: Lesson</t>
        </is>
      </c>
      <c r="B23" s="158" t="n"/>
      <c r="C23" s="159" t="n"/>
      <c r="D23" s="159" t="n"/>
      <c r="E23" s="159" t="n"/>
      <c r="F23" s="159" t="n"/>
      <c r="G23" s="159" t="n"/>
      <c r="H23" s="159" t="n"/>
      <c r="I23" s="159" t="n"/>
      <c r="J23" s="159" t="n"/>
      <c r="K23" s="159" t="n"/>
      <c r="L23" s="159" t="n"/>
      <c r="M23" s="159" t="n"/>
      <c r="N23" s="159" t="n"/>
      <c r="O23" s="160" t="n"/>
    </row>
    <row r="24" ht="121.05" customHeight="1">
      <c r="A24" s="39" t="inlineStr">
        <is>
          <t>STU-009</t>
        </is>
      </c>
      <c r="B24" s="40" t="inlineStr">
        <is>
          <t>[Student] Lesson detail/progress</t>
        </is>
      </c>
      <c r="C24" s="40" t="inlineStr">
        <is>
          <t>1. Mở `/lessons/:id`
2. hoàn thành</t>
        </is>
      </c>
      <c r="D24" s="133" t="inlineStr">
        <is>
          <t>Nội dung/media đúng; progress upsert unique và 100%; next lesson đổi</t>
        </is>
      </c>
      <c r="E24" s="133" t="inlineStr">
        <is>
          <t>Published lesson</t>
        </is>
      </c>
      <c r="F24" s="169" t="inlineStr">
        <is>
          <t>Pending</t>
        </is>
      </c>
      <c r="G24" s="170" t="n">
        <v>46229</v>
      </c>
      <c r="H24" s="39" t="inlineStr">
        <is>
          <t>Codex QA</t>
        </is>
      </c>
      <c r="I24" s="39" t="inlineStr">
        <is>
          <t>Pending</t>
        </is>
      </c>
      <c r="J24" s="39" t="n"/>
      <c r="K24" s="39" t="n"/>
      <c r="L24" s="39" t="inlineStr">
        <is>
          <t>Pending</t>
        </is>
      </c>
      <c r="M24" s="39" t="n"/>
      <c r="N24" s="39" t="n"/>
      <c r="O24" s="42" t="inlineStr">
        <is>
          <t>Test Data: valid lesson
Priority: P0
Type: Functional, Integration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25" ht="121.05" customHeight="1">
      <c r="A25" s="39" t="inlineStr">
        <is>
          <t>STU-010</t>
        </is>
      </c>
      <c r="B25" s="40" t="inlineStr">
        <is>
          <t>[Student] Hidden/missing lesson</t>
        </is>
      </c>
      <c r="C25" s="40" t="inlineStr">
        <is>
          <t>Direct URL/API</t>
        </is>
      </c>
      <c r="D25" s="133" t="inlineStr">
        <is>
          <t>403/404; không lộ content draft/deleted</t>
        </is>
      </c>
      <c r="E25" s="133" t="inlineStr">
        <is>
          <t>Draft/deleted/unknown ID</t>
        </is>
      </c>
      <c r="F25" s="169" t="inlineStr">
        <is>
          <t>Pending</t>
        </is>
      </c>
      <c r="G25" s="170" t="n">
        <v>46229</v>
      </c>
      <c r="H25" s="39" t="inlineStr">
        <is>
          <t>Codex QA</t>
        </is>
      </c>
      <c r="I25" s="39" t="inlineStr">
        <is>
          <t>Pending</t>
        </is>
      </c>
      <c r="J25" s="39" t="n"/>
      <c r="K25" s="39" t="n"/>
      <c r="L25" s="39" t="inlineStr">
        <is>
          <t>Pending</t>
        </is>
      </c>
      <c r="M25" s="39" t="n"/>
      <c r="N25" s="39" t="n"/>
      <c r="O25" s="42" t="inlineStr">
        <is>
          <t>Test Data: IDs
Priority: P0
Type: Permission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26" ht="22" customHeight="1">
      <c r="A26" s="157" t="inlineStr">
        <is>
          <t>Scenario: Kana</t>
        </is>
      </c>
      <c r="B26" s="158" t="n"/>
      <c r="C26" s="159" t="n"/>
      <c r="D26" s="159" t="n"/>
      <c r="E26" s="159" t="n"/>
      <c r="F26" s="159" t="n"/>
      <c r="G26" s="159" t="n"/>
      <c r="H26" s="159" t="n"/>
      <c r="I26" s="159" t="n"/>
      <c r="J26" s="159" t="n"/>
      <c r="K26" s="159" t="n"/>
      <c r="L26" s="159" t="n"/>
      <c r="M26" s="159" t="n"/>
      <c r="N26" s="159" t="n"/>
      <c r="O26" s="160" t="n"/>
    </row>
    <row r="27" ht="121.05" customHeight="1">
      <c r="A27" s="39" t="inlineStr">
        <is>
          <t>STU-011</t>
        </is>
      </c>
      <c r="B27" s="40" t="inlineStr">
        <is>
          <t>[Student] List/progress</t>
        </is>
      </c>
      <c r="C27" s="40" t="inlineStr">
        <is>
          <t>1. Mở `/kana`
2. lọc/tương tác
3. đánh dấu progress</t>
        </is>
      </c>
      <c r="D27" s="133" t="inlineStr">
        <is>
          <t>Đủ dữ liệu, audio fallback; progress content_type=kana</t>
        </is>
      </c>
      <c r="E27" s="133" t="inlineStr">
        <is>
          <t>Kana seed exists</t>
        </is>
      </c>
      <c r="F27" s="169" t="inlineStr">
        <is>
          <t>Pending</t>
        </is>
      </c>
      <c r="G27" s="170" t="n">
        <v>46229</v>
      </c>
      <c r="H27" s="39" t="inlineStr">
        <is>
          <t>Codex QA</t>
        </is>
      </c>
      <c r="I27" s="39" t="inlineStr">
        <is>
          <t>Pending</t>
        </is>
      </c>
      <c r="J27" s="39" t="n"/>
      <c r="K27" s="39" t="n"/>
      <c r="L27" s="39" t="inlineStr">
        <is>
          <t>Pending</t>
        </is>
      </c>
      <c r="M27" s="39" t="n"/>
      <c r="N27" s="39" t="n"/>
      <c r="O27" s="42" t="inlineStr">
        <is>
          <t>Test Data: Hiragana/Katakana
Priority: P1
Type: Functional, UI
ROUND 1 ACTUAL RESULT (26 Jul 2026): PENDING — Frontend unit tests, lint, and production build passed, but no Playwright/Cypress browser runner is configured for this end-to-end UI scenario.</t>
        </is>
      </c>
    </row>
    <row r="28" ht="22" customHeight="1">
      <c r="A28" s="157" t="inlineStr">
        <is>
          <t>Scenario: Vocabulary</t>
        </is>
      </c>
      <c r="B28" s="158" t="n"/>
      <c r="C28" s="159" t="n"/>
      <c r="D28" s="159" t="n"/>
      <c r="E28" s="159" t="n"/>
      <c r="F28" s="159" t="n"/>
      <c r="G28" s="159" t="n"/>
      <c r="H28" s="159" t="n"/>
      <c r="I28" s="159" t="n"/>
      <c r="J28" s="159" t="n"/>
      <c r="K28" s="159" t="n"/>
      <c r="L28" s="159" t="n"/>
      <c r="M28" s="159" t="n"/>
      <c r="N28" s="159" t="n"/>
      <c r="O28" s="160" t="n"/>
    </row>
    <row r="29" ht="121.05" customHeight="1">
      <c r="A29" s="39" t="inlineStr">
        <is>
          <t>STU-012</t>
        </is>
      </c>
      <c r="B29" s="40" t="inlineStr">
        <is>
          <t>[Student] Home/topics/list</t>
        </is>
      </c>
      <c r="C29" s="40" t="inlineStr">
        <is>
          <t>1. Mở vocab
2. đổi level/topic/search/page</t>
        </is>
      </c>
      <c r="D29" s="133" t="inlineStr">
        <is>
          <t>Filter/pagination đúng; Unicode search; empty/loading/error đúng</t>
        </is>
      </c>
      <c r="E29" s="133" t="inlineStr">
        <is>
          <t>Published vocab</t>
        </is>
      </c>
      <c r="F29" s="169" t="inlineStr">
        <is>
          <t>Pending</t>
        </is>
      </c>
      <c r="G29" s="170" t="n">
        <v>46229</v>
      </c>
      <c r="H29" s="39" t="inlineStr">
        <is>
          <t>Codex QA</t>
        </is>
      </c>
      <c r="I29" s="39" t="inlineStr">
        <is>
          <t>Pending</t>
        </is>
      </c>
      <c r="J29" s="39" t="n"/>
      <c r="K29" s="39" t="n"/>
      <c r="L29" s="39" t="inlineStr">
        <is>
          <t>Pending</t>
        </is>
      </c>
      <c r="M29" s="39" t="n"/>
      <c r="N29" s="39" t="n"/>
      <c r="O29" s="42" t="inlineStr">
        <is>
          <t>Test Data: JP query, N5
Priority: P0
Type: Functional, UI
ROUND 1 ACTUAL RESULT (26 Jul 2026): PENDING — Frontend unit tests, lint, and production build passed, but no Playwright/Cypress browser runner is configured for this end-to-end UI scenario.</t>
        </is>
      </c>
    </row>
    <row r="30" ht="121.05" customHeight="1">
      <c r="A30" s="39" t="inlineStr">
        <is>
          <t>STU-013</t>
        </is>
      </c>
      <c r="B30" s="40" t="inlineStr">
        <is>
          <t>[Student] Invalid filters</t>
        </is>
      </c>
      <c r="C30" s="40" t="inlineStr">
        <is>
          <t>level lạ, page âm, size 0/rất lớn, SQL/XSS</t>
        </is>
      </c>
      <c r="D30" s="133" t="inlineStr">
        <is>
          <t>400 hoặc safe defaults; không injection/XSS</t>
        </is>
      </c>
      <c r="E30" s="133" t="inlineStr">
        <is>
          <t>Logged in</t>
        </is>
      </c>
      <c r="F30" s="169" t="inlineStr">
        <is>
          <t>Pending</t>
        </is>
      </c>
      <c r="G30" s="170" t="n">
        <v>46229</v>
      </c>
      <c r="H30" s="39" t="inlineStr">
        <is>
          <t>Codex QA</t>
        </is>
      </c>
      <c r="I30" s="39" t="inlineStr">
        <is>
          <t>Pending</t>
        </is>
      </c>
      <c r="J30" s="39" t="n"/>
      <c r="K30" s="39" t="n"/>
      <c r="L30" s="39" t="inlineStr">
        <is>
          <t>Pending</t>
        </is>
      </c>
      <c r="M30" s="39" t="n"/>
      <c r="N30" s="39" t="n"/>
      <c r="O30" s="42" t="inlineStr">
        <is>
          <t>Test Data: invalid set
Priority: P1
Type: Negative, Security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31" ht="22" customHeight="1">
      <c r="A31" s="157" t="inlineStr">
        <is>
          <t>Scenario: Grammar</t>
        </is>
      </c>
      <c r="B31" s="158" t="n"/>
      <c r="C31" s="159" t="n"/>
      <c r="D31" s="159" t="n"/>
      <c r="E31" s="159" t="n"/>
      <c r="F31" s="159" t="n"/>
      <c r="G31" s="159" t="n"/>
      <c r="H31" s="159" t="n"/>
      <c r="I31" s="159" t="n"/>
      <c r="J31" s="159" t="n"/>
      <c r="K31" s="159" t="n"/>
      <c r="L31" s="159" t="n"/>
      <c r="M31" s="159" t="n"/>
      <c r="N31" s="159" t="n"/>
      <c r="O31" s="160" t="n"/>
    </row>
    <row r="32" ht="121.05" customHeight="1">
      <c r="A32" s="39" t="inlineStr">
        <is>
          <t>STU-014</t>
        </is>
      </c>
      <c r="B32" s="40" t="inlineStr">
        <is>
          <t>[Student] List/detail</t>
        </is>
      </c>
      <c r="C32" s="40" t="inlineStr">
        <is>
          <t>1. Mở `/grammar`
2. filter
3. detail</t>
        </is>
      </c>
      <c r="D32" s="133" t="inlineStr">
        <is>
          <t>Chỉ published; dữ liệu/Unicode đúng; 404 unknown</t>
        </is>
      </c>
      <c r="E32" s="133" t="inlineStr">
        <is>
          <t>Published grammar</t>
        </is>
      </c>
      <c r="F32" s="169" t="inlineStr">
        <is>
          <t>Pending</t>
        </is>
      </c>
      <c r="G32" s="170" t="n">
        <v>46229</v>
      </c>
      <c r="H32" s="39" t="inlineStr">
        <is>
          <t>Codex QA</t>
        </is>
      </c>
      <c r="I32" s="39" t="inlineStr">
        <is>
          <t>Pending</t>
        </is>
      </c>
      <c r="J32" s="39" t="n"/>
      <c r="K32" s="39" t="n"/>
      <c r="L32" s="39" t="inlineStr">
        <is>
          <t>Pending</t>
        </is>
      </c>
      <c r="M32" s="39" t="n"/>
      <c r="N32" s="39" t="n"/>
      <c r="O32" s="42" t="inlineStr">
        <is>
          <t>Test Data: N5
Priority: P1
Type: Functional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33" ht="22" customHeight="1">
      <c r="A33" s="157" t="inlineStr">
        <is>
          <t>Scenario: Kanji</t>
        </is>
      </c>
      <c r="B33" s="158" t="n"/>
      <c r="C33" s="159" t="n"/>
      <c r="D33" s="159" t="n"/>
      <c r="E33" s="159" t="n"/>
      <c r="F33" s="159" t="n"/>
      <c r="G33" s="159" t="n"/>
      <c r="H33" s="159" t="n"/>
      <c r="I33" s="159" t="n"/>
      <c r="J33" s="159" t="n"/>
      <c r="K33" s="159" t="n"/>
      <c r="L33" s="159" t="n"/>
      <c r="M33" s="159" t="n"/>
      <c r="N33" s="159" t="n"/>
      <c r="O33" s="160" t="n"/>
    </row>
    <row r="34" ht="121.05" customHeight="1">
      <c r="A34" s="39" t="inlineStr">
        <is>
          <t>STU-015</t>
        </is>
      </c>
      <c r="B34" s="40" t="inlineStr">
        <is>
          <t>[Student] List/detail</t>
        </is>
      </c>
      <c r="C34" s="40" t="inlineStr">
        <is>
          <t>1. Mở list
2. pagination
3. detail</t>
        </is>
      </c>
      <c r="D34" s="133" t="inlineStr">
        <is>
          <t>Meaning/readings/stroke info đúng; filter/boundary đúng</t>
        </is>
      </c>
      <c r="E34" s="133" t="inlineStr">
        <is>
          <t>Published Kanji</t>
        </is>
      </c>
      <c r="F34" s="169" t="inlineStr">
        <is>
          <t>Pending</t>
        </is>
      </c>
      <c r="G34" s="170" t="n">
        <v>46229</v>
      </c>
      <c r="H34" s="39" t="inlineStr">
        <is>
          <t>Codex QA</t>
        </is>
      </c>
      <c r="I34" s="39" t="inlineStr">
        <is>
          <t>Pending</t>
        </is>
      </c>
      <c r="J34" s="39" t="n"/>
      <c r="K34" s="39" t="n"/>
      <c r="L34" s="39" t="inlineStr">
        <is>
          <t>Pending</t>
        </is>
      </c>
      <c r="M34" s="39" t="n"/>
      <c r="N34" s="39" t="n"/>
      <c r="O34" s="42" t="inlineStr">
        <is>
          <t>Test Data: N5 Kanji
Priority: P0
Type: Functional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35" ht="22" customHeight="1">
      <c r="A35" s="157" t="inlineStr">
        <is>
          <t>Scenario: Kanji Writing</t>
        </is>
      </c>
      <c r="B35" s="158" t="n"/>
      <c r="C35" s="159" t="n"/>
      <c r="D35" s="159" t="n"/>
      <c r="E35" s="159" t="n"/>
      <c r="F35" s="159" t="n"/>
      <c r="G35" s="159" t="n"/>
      <c r="H35" s="159" t="n"/>
      <c r="I35" s="159" t="n"/>
      <c r="J35" s="159" t="n"/>
      <c r="K35" s="159" t="n"/>
      <c r="L35" s="159" t="n"/>
      <c r="M35" s="159" t="n"/>
      <c r="N35" s="159" t="n"/>
      <c r="O35" s="160" t="n"/>
    </row>
    <row r="36" ht="121.05" customHeight="1">
      <c r="A36" s="39" t="inlineStr">
        <is>
          <t>STU-016</t>
        </is>
      </c>
      <c r="B36" s="40" t="inlineStr">
        <is>
          <t>[Student] Evaluate stroke</t>
        </is>
      </c>
      <c r="C36" s="40" t="inlineStr">
        <is>
          <t>1. Vẽ path đúng/sai/ngắn
2. submit stroke</t>
        </is>
      </c>
      <c r="D36" s="133" t="inlineStr">
        <is>
          <t>DTW score/quality/direction hợp lệ; path quá ngắn xử lý an toàn</t>
        </is>
      </c>
      <c r="E36" s="133" t="inlineStr">
        <is>
          <t>Detail open</t>
        </is>
      </c>
      <c r="F36" s="169" t="inlineStr">
        <is>
          <t>Pending</t>
        </is>
      </c>
      <c r="G36" s="170" t="n">
        <v>46229</v>
      </c>
      <c r="H36" s="39" t="inlineStr">
        <is>
          <t>Codex QA</t>
        </is>
      </c>
      <c r="I36" s="39" t="inlineStr">
        <is>
          <t>Pending</t>
        </is>
      </c>
      <c r="J36" s="39" t="n"/>
      <c r="K36" s="39" t="n"/>
      <c r="L36" s="39" t="inlineStr">
        <is>
          <t>Pending</t>
        </is>
      </c>
      <c r="M36" s="39" t="n"/>
      <c r="N36" s="39" t="n"/>
      <c r="O36" s="42" t="inlineStr">
        <is>
          <t>Test Data: valid + short + extreme coords
Priority: P0
Type: Functional, Boundary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37" ht="121.05" customHeight="1">
      <c r="A37" s="39" t="inlineStr">
        <is>
          <t>STU-017</t>
        </is>
      </c>
      <c r="B37" s="40" t="inlineStr">
        <is>
          <t>[Student] Save attempt</t>
        </is>
      </c>
      <c r="C37" s="40" t="inlineStr">
        <is>
          <t>Submit full attempt hai lần</t>
        </is>
      </c>
      <c r="D37" s="133" t="inlineStr">
        <is>
          <t>Row lưu đúng Student, score/quality; JSON hợp lệ; duplicate behavior xác định</t>
        </is>
      </c>
      <c r="E37" s="133" t="inlineStr">
        <is>
          <t>Các nét đã đánh giá</t>
        </is>
      </c>
      <c r="F37" s="169" t="inlineStr">
        <is>
          <t>Pending</t>
        </is>
      </c>
      <c r="G37" s="170" t="n">
        <v>46229</v>
      </c>
      <c r="H37" s="39" t="inlineStr">
        <is>
          <t>Codex QA</t>
        </is>
      </c>
      <c r="I37" s="39" t="inlineStr">
        <is>
          <t>Pending</t>
        </is>
      </c>
      <c r="J37" s="39" t="n"/>
      <c r="K37" s="39" t="n"/>
      <c r="L37" s="39" t="inlineStr">
        <is>
          <t>Pending</t>
        </is>
      </c>
      <c r="M37" s="39" t="n"/>
      <c r="N37" s="39" t="n"/>
      <c r="O37" s="42" t="inlineStr">
        <is>
          <t>Test Data: stroke JSON
Priority: P1
Type: Integration, Database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38" ht="22" customHeight="1">
      <c r="A38" s="157" t="inlineStr">
        <is>
          <t>Scenario: Assessment</t>
        </is>
      </c>
      <c r="B38" s="158" t="n"/>
      <c r="C38" s="159" t="n"/>
      <c r="D38" s="159" t="n"/>
      <c r="E38" s="159" t="n"/>
      <c r="F38" s="159" t="n"/>
      <c r="G38" s="159" t="n"/>
      <c r="H38" s="159" t="n"/>
      <c r="I38" s="159" t="n"/>
      <c r="J38" s="159" t="n"/>
      <c r="K38" s="159" t="n"/>
      <c r="L38" s="159" t="n"/>
      <c r="M38" s="159" t="n"/>
      <c r="N38" s="159" t="n"/>
      <c r="O38" s="160" t="n"/>
    </row>
    <row r="39" ht="121.05" customHeight="1">
      <c r="A39" s="39" t="inlineStr">
        <is>
          <t>STU-018</t>
        </is>
      </c>
      <c r="B39" s="40" t="inlineStr">
        <is>
          <t>[Student] List quiz</t>
        </is>
      </c>
      <c r="C39" s="40" t="inlineStr">
        <is>
          <t>1. Mở `/quiz`
2. filter/list</t>
        </is>
      </c>
      <c r="D39" s="133" t="inlineStr">
        <is>
          <t>Chỉ quiz published/not deleted; empty/error state đúng</t>
        </is>
      </c>
      <c r="E39" s="133" t="inlineStr">
        <is>
          <t>Published quiz exists</t>
        </is>
      </c>
      <c r="F39" s="169" t="inlineStr">
        <is>
          <t>Pending</t>
        </is>
      </c>
      <c r="G39" s="170" t="n">
        <v>46229</v>
      </c>
      <c r="H39" s="39" t="inlineStr">
        <is>
          <t>Codex QA</t>
        </is>
      </c>
      <c r="I39" s="39" t="inlineStr">
        <is>
          <t>Pending</t>
        </is>
      </c>
      <c r="J39" s="39" t="n"/>
      <c r="K39" s="39" t="n"/>
      <c r="L39" s="39" t="inlineStr">
        <is>
          <t>Pending</t>
        </is>
      </c>
      <c r="M39" s="39" t="n"/>
      <c r="N39" s="39" t="n"/>
      <c r="O39" s="42" t="inlineStr">
        <is>
          <t>Test Data: N5
Priority: P0
Type: Smoke
ROUND 1 ACTUAL RESULT (26 Jul 2026): PARTIALLY EXECUTED — AssessmentControllerIntegrationTest passed published quiz listing and unauthenticated rejection; UI empty/error states remain.</t>
        </is>
      </c>
    </row>
    <row r="40" ht="121.05" customHeight="1">
      <c r="A40" s="39" t="inlineStr">
        <is>
          <t>STU-019</t>
        </is>
      </c>
      <c r="B40" s="40" t="inlineStr">
        <is>
          <t>[Student] Start quiz</t>
        </is>
      </c>
      <c r="C40" s="40" t="inlineStr">
        <is>
          <t>Start một quiz</t>
        </is>
      </c>
      <c r="D40" s="133" t="inlineStr">
        <is>
          <t>Tạo attempt `in_progress`; câu hỏi không lộ đáp án đúng</t>
        </is>
      </c>
      <c r="E40" s="133" t="inlineStr">
        <is>
          <t>Eligible Student</t>
        </is>
      </c>
      <c r="F40" s="169" t="inlineStr">
        <is>
          <t>Pending</t>
        </is>
      </c>
      <c r="G40" s="170" t="n">
        <v>46229</v>
      </c>
      <c r="H40" s="39" t="inlineStr">
        <is>
          <t>Codex QA</t>
        </is>
      </c>
      <c r="I40" s="39" t="inlineStr">
        <is>
          <t>Pending</t>
        </is>
      </c>
      <c r="J40" s="39" t="n"/>
      <c r="K40" s="39" t="n"/>
      <c r="L40" s="39" t="inlineStr">
        <is>
          <t>Pending</t>
        </is>
      </c>
      <c r="M40" s="39" t="n"/>
      <c r="N40" s="39" t="n"/>
      <c r="O40" s="42" t="inlineStr">
        <is>
          <t>Test Data: assessment ID
Priority: P0
Type: Functional, Security
ROUND 1 ACTUAL RESULT (26 Jul 2026): PARTIALLY EXECUTED — Assessment and Mock Exam integration tests passed start behavior and answer-hiding checks; the complete quiz DB/UI scenario remains.</t>
        </is>
      </c>
    </row>
    <row r="41" ht="121.05" customHeight="1">
      <c r="A41" s="39" t="inlineStr">
        <is>
          <t>STU-020</t>
        </is>
      </c>
      <c r="B41" s="40" t="inlineStr">
        <is>
          <t>[Student] Submit/score</t>
        </is>
      </c>
      <c r="C41" s="40" t="inlineStr">
        <is>
          <t>Submit mixed answers</t>
        </is>
      </c>
      <c r="D41" s="133" t="inlineStr">
        <is>
          <t>Backend tính score; attempt submitted; answer rows đúng; score 0..max</t>
        </is>
      </c>
      <c r="E41" s="133" t="inlineStr">
        <is>
          <t>In-progress attempt</t>
        </is>
      </c>
      <c r="F41" s="169" t="inlineStr">
        <is>
          <t>Pending</t>
        </is>
      </c>
      <c r="G41" s="170" t="n">
        <v>46229</v>
      </c>
      <c r="H41" s="39" t="inlineStr">
        <is>
          <t>Codex QA</t>
        </is>
      </c>
      <c r="I41" s="39" t="inlineStr">
        <is>
          <t>Pending</t>
        </is>
      </c>
      <c r="J41" s="39" t="n"/>
      <c r="K41" s="39" t="n"/>
      <c r="L41" s="39" t="inlineStr">
        <is>
          <t>Pending</t>
        </is>
      </c>
      <c r="M41" s="39" t="n"/>
      <c r="N41" s="39" t="n"/>
      <c r="O41" s="42" t="inlineStr">
        <is>
          <t>Test Data: correct/wrong/blank
Priority: P0
Type: Functional, Database
ROUND 1 ACTUAL RESULT (26 Jul 2026): PARTIALLY EXECUTED — Assessment integration and MockExam service tests passed server-side scoring and score invariants; answer-row and UI verification remain.</t>
        </is>
      </c>
    </row>
    <row r="42" ht="121.05" customHeight="1">
      <c r="A42" s="39" t="inlineStr">
        <is>
          <t>STU-021</t>
        </is>
      </c>
      <c r="B42" s="40" t="inlineStr">
        <is>
          <t>[Student] Invalid/replay/concurrent submit</t>
        </is>
      </c>
      <c r="C42" s="40" t="inlineStr">
        <is>
          <t>Submit lại, hai tab, ID người khác</t>
        </is>
      </c>
      <c r="D42" s="133" t="inlineStr">
        <is>
          <t>Chỉ một transition; không double attempt mutation; 403/409/422 phù hợp</t>
        </is>
      </c>
      <c r="E42" s="133" t="inlineStr">
        <is>
          <t>Attempt submitted/expired/foreign</t>
        </is>
      </c>
      <c r="F42" s="169" t="inlineStr">
        <is>
          <t>Pending</t>
        </is>
      </c>
      <c r="G42" s="170" t="n">
        <v>46229</v>
      </c>
      <c r="H42" s="39" t="inlineStr">
        <is>
          <t>Codex QA</t>
        </is>
      </c>
      <c r="I42" s="39" t="inlineStr">
        <is>
          <t>Pending</t>
        </is>
      </c>
      <c r="J42" s="39" t="n"/>
      <c r="K42" s="39" t="n"/>
      <c r="L42" s="39" t="inlineStr">
        <is>
          <t>Pending</t>
        </is>
      </c>
      <c r="M42" s="39" t="n"/>
      <c r="N42" s="39" t="n"/>
      <c r="O42" s="42" t="inlineStr">
        <is>
          <t>Test Data: answer set
Priority: P0
Type: Concurrent, Security
ROUND 1 ACTUAL RESULT (26 Jul 2026): PARTIALLY EXECUTED — MockExam integration tests passed replay rejection; simultaneous-tab and foreign-attempt coverage remain.</t>
        </is>
      </c>
    </row>
    <row r="43" ht="22" customHeight="1">
      <c r="A43" s="157" t="inlineStr">
        <is>
          <t>Scenario: Mock Exam</t>
        </is>
      </c>
      <c r="B43" s="158" t="n"/>
      <c r="C43" s="159" t="n"/>
      <c r="D43" s="159" t="n"/>
      <c r="E43" s="159" t="n"/>
      <c r="F43" s="159" t="n"/>
      <c r="G43" s="159" t="n"/>
      <c r="H43" s="159" t="n"/>
      <c r="I43" s="159" t="n"/>
      <c r="J43" s="159" t="n"/>
      <c r="K43" s="159" t="n"/>
      <c r="L43" s="159" t="n"/>
      <c r="M43" s="159" t="n"/>
      <c r="N43" s="159" t="n"/>
      <c r="O43" s="160" t="n"/>
    </row>
    <row r="44" ht="121.05" customHeight="1">
      <c r="A44" s="39" t="inlineStr">
        <is>
          <t>STU-022</t>
        </is>
      </c>
      <c r="B44" s="40" t="inlineStr">
        <is>
          <t>[Student] Full journey</t>
        </is>
      </c>
      <c r="C44" s="40" t="inlineStr">
        <is>
          <t>List→start→answer→submit→results→review</t>
        </is>
      </c>
      <c r="D44" s="133" t="inlineStr">
        <is>
          <t>Điểm phần/tổng đúng; history/review đúng Student</t>
        </is>
      </c>
      <c r="E44" s="133" t="inlineStr">
        <is>
          <t>Published exam</t>
        </is>
      </c>
      <c r="F44" s="171" t="inlineStr">
        <is>
          <t>Passed</t>
        </is>
      </c>
      <c r="G44" s="170" t="n">
        <v>46229</v>
      </c>
      <c r="H44" s="39" t="inlineStr">
        <is>
          <t>Codex QA</t>
        </is>
      </c>
      <c r="I44" s="39" t="inlineStr">
        <is>
          <t>Pending</t>
        </is>
      </c>
      <c r="J44" s="39" t="n"/>
      <c r="K44" s="39" t="n"/>
      <c r="L44" s="39" t="inlineStr">
        <is>
          <t>Pending</t>
        </is>
      </c>
      <c r="M44" s="39" t="n"/>
      <c r="N44" s="39" t="n"/>
      <c r="O44" s="42" t="inlineStr">
        <is>
          <t>Test Data: exam fixture
Priority: P0
Type: Regression, Integration
ROUND 1 ACTUAL RESULT (26 Jul 2026): PASSED — MockExamControllerIntegrationTest and MockExamServiceTest passed the start, submit, scoring, history, and review journey.</t>
        </is>
      </c>
    </row>
    <row r="45" ht="121.05" customHeight="1">
      <c r="A45" s="39" t="inlineStr">
        <is>
          <t>STU-023</t>
        </is>
      </c>
      <c r="B45" s="40" t="inlineStr">
        <is>
          <t>[Student] Timeout/auto-submit</t>
        </is>
      </c>
      <c r="C45" s="40" t="inlineStr">
        <is>
          <t>1. Advance clock/hết thời gian
2. submit trễ</t>
        </is>
      </c>
      <c r="D45" s="133" t="inlineStr">
        <is>
          <t>Auto-submitted/blocked theo service; server time authoritative</t>
        </is>
      </c>
      <c r="E45" s="133" t="inlineStr">
        <is>
          <t>Exam running</t>
        </is>
      </c>
      <c r="F45" s="171" t="inlineStr">
        <is>
          <t>Passed</t>
        </is>
      </c>
      <c r="G45" s="170" t="n">
        <v>46229</v>
      </c>
      <c r="H45" s="39" t="inlineStr">
        <is>
          <t>Codex QA</t>
        </is>
      </c>
      <c r="I45" s="39" t="inlineStr">
        <is>
          <t>Pending</t>
        </is>
      </c>
      <c r="J45" s="39" t="n"/>
      <c r="K45" s="39" t="n"/>
      <c r="L45" s="39" t="inlineStr">
        <is>
          <t>Pending</t>
        </is>
      </c>
      <c r="M45" s="39" t="n"/>
      <c r="N45" s="39" t="n"/>
      <c r="O45" s="42" t="inlineStr">
        <is>
          <t>Test Data: timed exam
Priority: P0
Type: Boundary, Security
ROUND 1 ACTUAL RESULT (26 Jul 2026): PASSED — MockExamServiceTest passed manual expiry rejection and auto-submit-after-expiry behavior.</t>
        </is>
      </c>
    </row>
    <row r="46" ht="22" customHeight="1">
      <c r="A46" s="157" t="inlineStr">
        <is>
          <t>Scenario: Attempts</t>
        </is>
      </c>
      <c r="B46" s="158" t="n"/>
      <c r="C46" s="159" t="n"/>
      <c r="D46" s="159" t="n"/>
      <c r="E46" s="159" t="n"/>
      <c r="F46" s="159" t="n"/>
      <c r="G46" s="159" t="n"/>
      <c r="H46" s="159" t="n"/>
      <c r="I46" s="159" t="n"/>
      <c r="J46" s="159" t="n"/>
      <c r="K46" s="159" t="n"/>
      <c r="L46" s="159" t="n"/>
      <c r="M46" s="159" t="n"/>
      <c r="N46" s="159" t="n"/>
      <c r="O46" s="160" t="n"/>
    </row>
    <row r="47" ht="121.05" customHeight="1">
      <c r="A47" s="39" t="inlineStr">
        <is>
          <t>STU-024</t>
        </is>
      </c>
      <c r="B47" s="40" t="inlineStr">
        <is>
          <t>[Student] History/review permission</t>
        </is>
      </c>
      <c r="C47" s="40" t="inlineStr">
        <is>
          <t>1. List history
2. open own/other/in-progress attempt</t>
        </is>
      </c>
      <c r="D47" s="133" t="inlineStr">
        <is>
          <t>Chỉ own attempts; in-progress không review; correct pagination</t>
        </is>
      </c>
      <c r="E47" s="133" t="inlineStr">
        <is>
          <t>Multiple Students</t>
        </is>
      </c>
      <c r="F47" s="169" t="inlineStr">
        <is>
          <t>Pending</t>
        </is>
      </c>
      <c r="G47" s="170" t="n">
        <v>46229</v>
      </c>
      <c r="H47" s="39" t="inlineStr">
        <is>
          <t>Codex QA</t>
        </is>
      </c>
      <c r="I47" s="39" t="inlineStr">
        <is>
          <t>Pending</t>
        </is>
      </c>
      <c r="J47" s="39" t="n"/>
      <c r="K47" s="39" t="n"/>
      <c r="L47" s="39" t="inlineStr">
        <is>
          <t>Pending</t>
        </is>
      </c>
      <c r="M47" s="39" t="n"/>
      <c r="N47" s="39" t="n"/>
      <c r="O47" s="42" t="inlineStr">
        <is>
          <t>Test Data: IDs
Priority: P0
Type: Permission
ROUND 1 ACTUAL RESULT (26 Jul 2026): PARTIALLY EXECUTED — MockExam tests passed history, review, in-progress rejection, and wrong-student submission checks; full cross-account review coverage remains.</t>
        </is>
      </c>
    </row>
    <row r="48" ht="22" customHeight="1">
      <c r="A48" s="157" t="inlineStr">
        <is>
          <t>Scenario: Flashcard</t>
        </is>
      </c>
      <c r="B48" s="158" t="n"/>
      <c r="C48" s="159" t="n"/>
      <c r="D48" s="159" t="n"/>
      <c r="E48" s="159" t="n"/>
      <c r="F48" s="159" t="n"/>
      <c r="G48" s="159" t="n"/>
      <c r="H48" s="159" t="n"/>
      <c r="I48" s="159" t="n"/>
      <c r="J48" s="159" t="n"/>
      <c r="K48" s="159" t="n"/>
      <c r="L48" s="159" t="n"/>
      <c r="M48" s="159" t="n"/>
      <c r="N48" s="159" t="n"/>
      <c r="O48" s="160" t="n"/>
    </row>
    <row r="49" ht="121.05" customHeight="1">
      <c r="A49" s="39" t="inlineStr">
        <is>
          <t>STU-025</t>
        </is>
      </c>
      <c r="B49" s="40" t="inlineStr">
        <is>
          <t>[Student] Start SRS session</t>
        </is>
      </c>
      <c r="C49" s="40" t="inlineStr">
        <is>
          <t>Start session, inspect cards</t>
        </is>
      </c>
      <c r="D49" s="133" t="inlineStr">
        <is>
          <t>Deck/cards created idempotently; bounds handled; answer không lộ sớm</t>
        </is>
      </c>
      <c r="E49" s="133" t="inlineStr">
        <is>
          <t>Topic has vocab</t>
        </is>
      </c>
      <c r="F49" s="169" t="inlineStr">
        <is>
          <t>Pending</t>
        </is>
      </c>
      <c r="G49" s="170" t="n">
        <v>46229</v>
      </c>
      <c r="H49" s="39" t="inlineStr">
        <is>
          <t>Codex QA</t>
        </is>
      </c>
      <c r="I49" s="39" t="inlineStr">
        <is>
          <t>Pending</t>
        </is>
      </c>
      <c r="J49" s="39" t="n"/>
      <c r="K49" s="39" t="n"/>
      <c r="L49" s="39" t="inlineStr">
        <is>
          <t>Pending</t>
        </is>
      </c>
      <c r="M49" s="39" t="n"/>
      <c r="N49" s="39" t="n"/>
      <c r="O49" s="42" t="inlineStr">
        <is>
          <t>Test Data: newLimit 0/1/max
Priority: P0
Type: Functional
ROUND 1 ACTUAL RESULT (26 Jul 2026): PARTIALLY EXECUTED — Flashcard algorithm tests passed, but session creation, idempotency, limits, and early-answer visibility were not executed.</t>
        </is>
      </c>
    </row>
    <row r="50" ht="121.05" customHeight="1">
      <c r="A50" s="39" t="inlineStr">
        <is>
          <t>STU-026</t>
        </is>
      </c>
      <c r="B50" s="40" t="inlineStr">
        <is>
          <t>[Student] Review ratings</t>
        </is>
      </c>
      <c r="C50" s="40" t="inlineStr">
        <is>
          <t>1. Review easy/hard/wrong
2. last card</t>
        </is>
      </c>
      <c r="D50" s="133" t="inlineStr">
        <is>
          <t>interval/ease/repetition/next date đúng; session result đúng</t>
        </is>
      </c>
      <c r="E50" s="133" t="inlineStr">
        <is>
          <t>Active session</t>
        </is>
      </c>
      <c r="F50" s="171" t="inlineStr">
        <is>
          <t>Passed</t>
        </is>
      </c>
      <c r="G50" s="170" t="n">
        <v>46229</v>
      </c>
      <c r="H50" s="39" t="inlineStr">
        <is>
          <t>Codex QA</t>
        </is>
      </c>
      <c r="I50" s="39" t="inlineStr">
        <is>
          <t>Pending</t>
        </is>
      </c>
      <c r="J50" s="39" t="n"/>
      <c r="K50" s="39" t="n"/>
      <c r="L50" s="39" t="inlineStr">
        <is>
          <t>Pending</t>
        </is>
      </c>
      <c r="M50" s="39" t="n"/>
      <c r="N50" s="39" t="n"/>
      <c r="O50" s="42" t="inlineStr">
        <is>
          <t>Test Data: rating set
Priority: P0
Type: Functional, Database
ROUND 1 ACTUAL RESULT (26 Jul 2026): PASSED — FlashcardSrsServiceSm2Test passed all 18 SM-2 rating, interval, repetition, ease-factor, and next-review checks.</t>
        </is>
      </c>
    </row>
    <row r="51" ht="121.05" customHeight="1">
      <c r="A51" s="39" t="inlineStr">
        <is>
          <t>STU-027</t>
        </is>
      </c>
      <c r="B51" s="40" t="inlineStr">
        <is>
          <t>[Student] Invalid review</t>
        </is>
      </c>
      <c r="C51" s="40" t="inlineStr">
        <is>
          <t>POST review</t>
        </is>
      </c>
      <c r="D51" s="133" t="inlineStr">
        <is>
          <t>400/403/404; no SRS mutation</t>
        </is>
      </c>
      <c r="E51" s="133" t="inlineStr">
        <is>
          <t>Card foreign/deleted; bad rating</t>
        </is>
      </c>
      <c r="F51" s="169" t="inlineStr">
        <is>
          <t>Pending</t>
        </is>
      </c>
      <c r="G51" s="170" t="n">
        <v>46229</v>
      </c>
      <c r="H51" s="39" t="inlineStr">
        <is>
          <t>Codex QA</t>
        </is>
      </c>
      <c r="I51" s="39" t="inlineStr">
        <is>
          <t>Pending</t>
        </is>
      </c>
      <c r="J51" s="39" t="n"/>
      <c r="K51" s="39" t="n"/>
      <c r="L51" s="39" t="inlineStr">
        <is>
          <t>Pending</t>
        </is>
      </c>
      <c r="M51" s="39" t="n"/>
      <c r="N51" s="39" t="n"/>
      <c r="O51" s="42" t="inlineStr">
        <is>
          <t>Test Data: invalid IDs/rating
Priority: P1
Type: Negative, Permission
ROUND 1 ACTUAL RESULT (26 Jul 2026): PARTIALLY EXECUTED — Flashcard rating boundaries were tested, but foreign/deleted card authorization and API status checks were not executed.</t>
        </is>
      </c>
    </row>
    <row r="52" ht="22" customHeight="1">
      <c r="A52" s="157" t="inlineStr">
        <is>
          <t>Scenario: Notebook</t>
        </is>
      </c>
      <c r="B52" s="158" t="n"/>
      <c r="C52" s="159" t="n"/>
      <c r="D52" s="159" t="n"/>
      <c r="E52" s="159" t="n"/>
      <c r="F52" s="159" t="n"/>
      <c r="G52" s="159" t="n"/>
      <c r="H52" s="159" t="n"/>
      <c r="I52" s="159" t="n"/>
      <c r="J52" s="159" t="n"/>
      <c r="K52" s="159" t="n"/>
      <c r="L52" s="159" t="n"/>
      <c r="M52" s="159" t="n"/>
      <c r="N52" s="159" t="n"/>
      <c r="O52" s="160" t="n"/>
    </row>
    <row r="53" ht="121.05" customHeight="1">
      <c r="A53" s="39" t="inlineStr">
        <is>
          <t>STU-028</t>
        </is>
      </c>
      <c r="B53" s="40" t="inlineStr">
        <is>
          <t>[Student] Deck/card operations</t>
        </is>
      </c>
      <c r="C53" s="40" t="inlineStr">
        <is>
          <t>1. List decks/cards
2. search/sort/due
3. add word</t>
        </is>
      </c>
      <c r="D53" s="133" t="inlineStr">
        <is>
          <t>Data thuộc Student; review deck unique; pagination/sort đúng</t>
        </is>
      </c>
      <c r="E53" s="133" t="inlineStr">
        <is>
          <t>Logged in</t>
        </is>
      </c>
      <c r="F53" s="169" t="inlineStr">
        <is>
          <t>Pending</t>
        </is>
      </c>
      <c r="G53" s="170" t="n">
        <v>46229</v>
      </c>
      <c r="H53" s="39" t="inlineStr">
        <is>
          <t>Codex QA</t>
        </is>
      </c>
      <c r="I53" s="39" t="inlineStr">
        <is>
          <t>Pending</t>
        </is>
      </c>
      <c r="J53" s="39" t="n"/>
      <c r="K53" s="39" t="n"/>
      <c r="L53" s="39" t="inlineStr">
        <is>
          <t>Pending</t>
        </is>
      </c>
      <c r="M53" s="39" t="n"/>
      <c r="N53" s="39" t="n"/>
      <c r="O53" s="42" t="inlineStr">
        <is>
          <t>Test Data: vocab IDs
Priority: P1
Type: Functional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54" ht="121.05" customHeight="1">
      <c r="A54" s="39" t="inlineStr">
        <is>
          <t>STU-029</t>
        </is>
      </c>
      <c r="B54" s="40" t="inlineStr">
        <is>
          <t>[Student] Delete/bulk delete</t>
        </is>
      </c>
      <c r="C54" s="40" t="inlineStr">
        <is>
          <t>1. Delete one
2. bulk empty/duplicate/foreign IDs</t>
        </is>
      </c>
      <c r="D54" s="133" t="inlineStr">
        <is>
          <t>Soft delete own only; result count đúng; foreign unchanged</t>
        </is>
      </c>
      <c r="E54" s="133" t="inlineStr">
        <is>
          <t>Own cards exist</t>
        </is>
      </c>
      <c r="F54" s="169" t="inlineStr">
        <is>
          <t>Pending</t>
        </is>
      </c>
      <c r="G54" s="170" t="n">
        <v>46229</v>
      </c>
      <c r="H54" s="39" t="inlineStr">
        <is>
          <t>Codex QA</t>
        </is>
      </c>
      <c r="I54" s="39" t="inlineStr">
        <is>
          <t>Pending</t>
        </is>
      </c>
      <c r="J54" s="39" t="n"/>
      <c r="K54" s="39" t="n"/>
      <c r="L54" s="39" t="inlineStr">
        <is>
          <t>Pending</t>
        </is>
      </c>
      <c r="M54" s="39" t="n"/>
      <c r="N54" s="39" t="n"/>
      <c r="O54" s="42" t="inlineStr">
        <is>
          <t>Test Data: ID set
Priority: P1
Type: Functional, Security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55" ht="22" customHeight="1">
      <c r="A55" s="157" t="inlineStr">
        <is>
          <t>Scenario: Dictionary</t>
        </is>
      </c>
      <c r="B55" s="158" t="n"/>
      <c r="C55" s="159" t="n"/>
      <c r="D55" s="159" t="n"/>
      <c r="E55" s="159" t="n"/>
      <c r="F55" s="159" t="n"/>
      <c r="G55" s="159" t="n"/>
      <c r="H55" s="159" t="n"/>
      <c r="I55" s="159" t="n"/>
      <c r="J55" s="159" t="n"/>
      <c r="K55" s="159" t="n"/>
      <c r="L55" s="159" t="n"/>
      <c r="M55" s="159" t="n"/>
      <c r="N55" s="159" t="n"/>
      <c r="O55" s="160" t="n"/>
    </row>
    <row r="56" ht="121.05" customHeight="1">
      <c r="A56" s="39" t="inlineStr">
        <is>
          <t>STU-030</t>
        </is>
      </c>
      <c r="B56" s="40" t="inlineStr">
        <is>
          <t>[Student] Search</t>
        </is>
      </c>
      <c r="C56" s="40" t="inlineStr">
        <is>
          <t>Search chung và theo type</t>
        </is>
      </c>
      <c r="D56" s="133" t="inlineStr">
        <is>
          <t>Kết quả đúng loại; Unicode; empty query validation; save vocab works</t>
        </is>
      </c>
      <c r="E56" s="133" t="inlineStr">
        <is>
          <t>Published content</t>
        </is>
      </c>
      <c r="F56" s="169" t="inlineStr">
        <is>
          <t>Pending</t>
        </is>
      </c>
      <c r="G56" s="170" t="n">
        <v>46229</v>
      </c>
      <c r="H56" s="39" t="inlineStr">
        <is>
          <t>Codex QA</t>
        </is>
      </c>
      <c r="I56" s="39" t="inlineStr">
        <is>
          <t>Pending</t>
        </is>
      </c>
      <c r="J56" s="39" t="n"/>
      <c r="K56" s="39" t="n"/>
      <c r="L56" s="39" t="inlineStr">
        <is>
          <t>Pending</t>
        </is>
      </c>
      <c r="M56" s="39" t="n"/>
      <c r="N56" s="39" t="n"/>
      <c r="O56" s="42" t="inlineStr">
        <is>
          <t>Test Data: Japanese/romaji/Vi, empty
Priority: P1
Type: Functional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57" ht="22" customHeight="1">
      <c r="A57" s="157" t="inlineStr">
        <is>
          <t>Scenario: Speaking</t>
        </is>
      </c>
      <c r="B57" s="158" t="n"/>
      <c r="C57" s="159" t="n"/>
      <c r="D57" s="159" t="n"/>
      <c r="E57" s="159" t="n"/>
      <c r="F57" s="159" t="n"/>
      <c r="G57" s="159" t="n"/>
      <c r="H57" s="159" t="n"/>
      <c r="I57" s="159" t="n"/>
      <c r="J57" s="159" t="n"/>
      <c r="K57" s="159" t="n"/>
      <c r="L57" s="159" t="n"/>
      <c r="M57" s="159" t="n"/>
      <c r="N57" s="159" t="n"/>
      <c r="O57" s="160" t="n"/>
    </row>
    <row r="58" ht="121.05" customHeight="1">
      <c r="A58" s="39" t="inlineStr">
        <is>
          <t>STU-031</t>
        </is>
      </c>
      <c r="B58" s="40" t="inlineStr">
        <is>
          <t>[Student] List/upload/poll</t>
        </is>
      </c>
      <c r="C58" s="40" t="inlineStr">
        <is>
          <t>1. List
2. upload valid audio
3. poll pending</t>
        </is>
      </c>
      <c r="D58" s="133" t="inlineStr">
        <is>
          <t>Submission pending; jobId=submissionId; Student chỉ poll own job</t>
        </is>
      </c>
      <c r="E58" s="133" t="inlineStr">
        <is>
          <t>Speaking lesson published</t>
        </is>
      </c>
      <c r="F58" s="169" t="inlineStr">
        <is>
          <t>Pending</t>
        </is>
      </c>
      <c r="G58" s="170" t="n">
        <v>46229</v>
      </c>
      <c r="H58" s="39" t="inlineStr">
        <is>
          <t>Codex QA</t>
        </is>
      </c>
      <c r="I58" s="39" t="inlineStr">
        <is>
          <t>Pending</t>
        </is>
      </c>
      <c r="J58" s="39" t="n"/>
      <c r="K58" s="39" t="n"/>
      <c r="L58" s="39" t="inlineStr">
        <is>
          <t>Pending</t>
        </is>
      </c>
      <c r="M58" s="39" t="n"/>
      <c r="N58" s="39" t="n"/>
      <c r="O58" s="42" t="inlineStr">
        <is>
          <t>Test Data: `FILE-AUDIO`
Priority: P0
Type: Integration
ROUND 1 ACTUAL RESULT (26 Jul 2026): PENDING — The relevant external provider/file-delivery workflow was not available as a complete System Test environment. Mocked automated checks passed where present.</t>
        </is>
      </c>
    </row>
    <row r="59" ht="121.05" customHeight="1">
      <c r="A59" s="39" t="inlineStr">
        <is>
          <t>STU-032</t>
        </is>
      </c>
      <c r="B59" s="40" t="inlineStr">
        <is>
          <t>[Student] Invalid upload</t>
        </is>
      </c>
      <c r="C59" s="40" t="inlineStr">
        <is>
          <t>Missing exercise, wrong lesson, bad MIME, huge/empty file</t>
        </is>
      </c>
      <c r="D59" s="133" t="inlineStr">
        <is>
          <t>400/404/415; no orphan submission/file</t>
        </is>
      </c>
      <c r="E59" s="133" t="inlineStr">
        <is>
          <t>Logged in</t>
        </is>
      </c>
      <c r="F59" s="169" t="inlineStr">
        <is>
          <t>Pending</t>
        </is>
      </c>
      <c r="G59" s="170" t="n">
        <v>46229</v>
      </c>
      <c r="H59" s="39" t="inlineStr">
        <is>
          <t>Codex QA</t>
        </is>
      </c>
      <c r="I59" s="39" t="inlineStr">
        <is>
          <t>Pending</t>
        </is>
      </c>
      <c r="J59" s="39" t="n"/>
      <c r="K59" s="39" t="n"/>
      <c r="L59" s="39" t="inlineStr">
        <is>
          <t>Pending</t>
        </is>
      </c>
      <c r="M59" s="39" t="n"/>
      <c r="N59" s="39" t="n"/>
      <c r="O59" s="42" t="inlineStr">
        <is>
          <t>Test Data: `FILE-BAD`
Priority: P0
Type: Negative, Security
ROUND 1 ACTUAL RESULT (26 Jul 2026): PENDING — The relevant external provider/file-delivery workflow was not available as a complete System Test environment. Mocked automated checks passed where present.</t>
        </is>
      </c>
    </row>
    <row r="60" ht="121.05" customHeight="1">
      <c r="A60" s="39" t="inlineStr">
        <is>
          <t>STU-033</t>
        </is>
      </c>
      <c r="B60" s="40" t="inlineStr">
        <is>
          <t>[Student] Graded result</t>
        </is>
      </c>
      <c r="C60" s="40" t="inlineStr">
        <is>
          <t>1. Poll job
2. reload page</t>
        </is>
      </c>
      <c r="D60" s="133" t="inlineStr">
        <is>
          <t>Completed score/feedback shown; manual score used</t>
        </is>
      </c>
      <c r="E60" s="133" t="inlineStr">
        <is>
          <t>Staff graded submission</t>
        </is>
      </c>
      <c r="F60" s="169" t="inlineStr">
        <is>
          <t>Pending</t>
        </is>
      </c>
      <c r="G60" s="170" t="n">
        <v>46229</v>
      </c>
      <c r="H60" s="39" t="inlineStr">
        <is>
          <t>Codex QA</t>
        </is>
      </c>
      <c r="I60" s="39" t="inlineStr">
        <is>
          <t>Pending</t>
        </is>
      </c>
      <c r="J60" s="39" t="n"/>
      <c r="K60" s="39" t="n"/>
      <c r="L60" s="39" t="inlineStr">
        <is>
          <t>Pending</t>
        </is>
      </c>
      <c r="M60" s="39" t="n"/>
      <c r="N60" s="39" t="n"/>
      <c r="O60" s="42" t="inlineStr">
        <is>
          <t>Test Data: graded job
Priority: P0
Type: Functional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61" ht="22" customHeight="1">
      <c r="A61" s="157" t="inlineStr">
        <is>
          <t>Scenario: Progress</t>
        </is>
      </c>
      <c r="B61" s="158" t="n"/>
      <c r="C61" s="159" t="n"/>
      <c r="D61" s="159" t="n"/>
      <c r="E61" s="159" t="n"/>
      <c r="F61" s="159" t="n"/>
      <c r="G61" s="159" t="n"/>
      <c r="H61" s="159" t="n"/>
      <c r="I61" s="159" t="n"/>
      <c r="J61" s="159" t="n"/>
      <c r="K61" s="159" t="n"/>
      <c r="L61" s="159" t="n"/>
      <c r="M61" s="159" t="n"/>
      <c r="N61" s="159" t="n"/>
      <c r="O61" s="160" t="n"/>
    </row>
    <row r="62" ht="121.05" customHeight="1">
      <c r="A62" s="39" t="inlineStr">
        <is>
          <t>STU-034</t>
        </is>
      </c>
      <c r="B62" s="40" t="inlineStr">
        <is>
          <t>[Student] Upsert/reset</t>
        </is>
      </c>
      <c r="C62" s="40" t="inlineStr">
        <is>
          <t>1. Mark learning/completed
2. lower progress
3. reset type</t>
        </is>
      </c>
      <c r="D62" s="133" t="inlineStr">
        <is>
          <t>Bounds validated; unique row; monotonic rule theo service; reset scoped</t>
        </is>
      </c>
      <c r="E62" s="133" t="inlineStr">
        <is>
          <t>Logged in</t>
        </is>
      </c>
      <c r="F62" s="169" t="inlineStr">
        <is>
          <t>Pending</t>
        </is>
      </c>
      <c r="G62" s="170" t="n">
        <v>46229</v>
      </c>
      <c r="H62" s="39" t="inlineStr">
        <is>
          <t>Codex QA</t>
        </is>
      </c>
      <c r="I62" s="39" t="inlineStr">
        <is>
          <t>Pending</t>
        </is>
      </c>
      <c r="J62" s="39" t="n"/>
      <c r="K62" s="39" t="n"/>
      <c r="L62" s="39" t="inlineStr">
        <is>
          <t>Pending</t>
        </is>
      </c>
      <c r="M62" s="39" t="n"/>
      <c r="N62" s="39" t="n"/>
      <c r="O62" s="42" t="inlineStr">
        <is>
          <t>Test Data: 0,100,101,-1
Priority: P1
Type: Boundary, Database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63" ht="22" customHeight="1">
      <c r="A63" s="157" t="inlineStr">
        <is>
          <t>Scenario: Support</t>
        </is>
      </c>
      <c r="B63" s="158" t="n"/>
      <c r="C63" s="159" t="n"/>
      <c r="D63" s="159" t="n"/>
      <c r="E63" s="159" t="n"/>
      <c r="F63" s="159" t="n"/>
      <c r="G63" s="159" t="n"/>
      <c r="H63" s="159" t="n"/>
      <c r="I63" s="159" t="n"/>
      <c r="J63" s="159" t="n"/>
      <c r="K63" s="159" t="n"/>
      <c r="L63" s="159" t="n"/>
      <c r="M63" s="159" t="n"/>
      <c r="N63" s="159" t="n"/>
      <c r="O63" s="160" t="n"/>
    </row>
    <row r="64" ht="121.05" customHeight="1">
      <c r="A64" s="39" t="inlineStr">
        <is>
          <t>STU-035</t>
        </is>
      </c>
      <c r="B64" s="40" t="inlineStr">
        <is>
          <t>[Student] Ticket full lifecycle</t>
        </is>
      </c>
      <c r="C64" s="40" t="inlineStr">
        <is>
          <t>Create/list/detail/reply/close</t>
        </is>
      </c>
      <c r="D64" s="133" t="inlineStr">
        <is>
          <t>State and replies correct; notification/audit as implemented</t>
        </is>
      </c>
      <c r="E64" s="133" t="inlineStr">
        <is>
          <t>Logged in</t>
        </is>
      </c>
      <c r="F64" s="169" t="inlineStr">
        <is>
          <t>Pending</t>
        </is>
      </c>
      <c r="G64" s="170" t="n">
        <v>46229</v>
      </c>
      <c r="H64" s="39" t="inlineStr">
        <is>
          <t>Codex QA</t>
        </is>
      </c>
      <c r="I64" s="39" t="inlineStr">
        <is>
          <t>Pending</t>
        </is>
      </c>
      <c r="J64" s="39" t="n"/>
      <c r="K64" s="39" t="n"/>
      <c r="L64" s="39" t="inlineStr">
        <is>
          <t>Pending</t>
        </is>
      </c>
      <c r="M64" s="39" t="n"/>
      <c r="N64" s="39" t="n"/>
      <c r="O64" s="42" t="inlineStr">
        <is>
          <t>Test Data: subject/content/attachment
Priority: P0
Type: Functional
ROUND 1 ACTUAL RESULT (26 Jul 2026): PARTIALLY EXECUTED — SupportTicketServiceTest passed create, reply, close, ownership, and state checks; full UI/attachment/audit flow remains.</t>
        </is>
      </c>
    </row>
    <row r="65" ht="121.05" customHeight="1">
      <c r="A65" s="39" t="inlineStr">
        <is>
          <t>STU-036</t>
        </is>
      </c>
      <c r="B65" s="40" t="inlineStr">
        <is>
          <t>[Student] Ticket isolation/validation</t>
        </is>
      </c>
      <c r="C65" s="40" t="inlineStr">
        <is>
          <t>1. Open/reply/close other ticket
2. XSS/long content</t>
        </is>
      </c>
      <c r="D65" s="133" t="inlineStr">
        <is>
          <t>403/404; content escaped; lengths validated</t>
        </is>
      </c>
      <c r="E65" s="133" t="inlineStr">
        <is>
          <t>Two Students</t>
        </is>
      </c>
      <c r="F65" s="169" t="inlineStr">
        <is>
          <t>Pending</t>
        </is>
      </c>
      <c r="G65" s="170" t="n">
        <v>46229</v>
      </c>
      <c r="H65" s="39" t="inlineStr">
        <is>
          <t>Codex QA</t>
        </is>
      </c>
      <c r="I65" s="39" t="inlineStr">
        <is>
          <t>Pending</t>
        </is>
      </c>
      <c r="J65" s="39" t="n"/>
      <c r="K65" s="39" t="n"/>
      <c r="L65" s="39" t="inlineStr">
        <is>
          <t>Pending</t>
        </is>
      </c>
      <c r="M65" s="39" t="n"/>
      <c r="N65" s="39" t="n"/>
      <c r="O65" s="42" t="inlineStr">
        <is>
          <t>Test Data: IDs + payload
Priority: P0
Type: Permission, Security
ROUND 1 ACTUAL RESULT (26 Jul 2026): PARTIALLY EXECUTED — SupportTicketServiceTest passed ticket ownership isolation; XSS, maximum-length, and browser rendering remain.</t>
        </is>
      </c>
    </row>
    <row r="66" ht="22" customHeight="1">
      <c r="A66" s="157" t="inlineStr">
        <is>
          <t>Scenario: Notification</t>
        </is>
      </c>
      <c r="B66" s="158" t="n"/>
      <c r="C66" s="159" t="n"/>
      <c r="D66" s="159" t="n"/>
      <c r="E66" s="159" t="n"/>
      <c r="F66" s="159" t="n"/>
      <c r="G66" s="159" t="n"/>
      <c r="H66" s="159" t="n"/>
      <c r="I66" s="159" t="n"/>
      <c r="J66" s="159" t="n"/>
      <c r="K66" s="159" t="n"/>
      <c r="L66" s="159" t="n"/>
      <c r="M66" s="159" t="n"/>
      <c r="N66" s="159" t="n"/>
      <c r="O66" s="160" t="n"/>
    </row>
    <row r="67" ht="121.05" customHeight="1">
      <c r="A67" s="39" t="inlineStr">
        <is>
          <t>STU-037</t>
        </is>
      </c>
      <c r="B67" s="40" t="inlineStr">
        <is>
          <t>[Student] Inbox/read</t>
        </is>
      </c>
      <c r="C67" s="40" t="inlineStr">
        <is>
          <t>1. List filters/pages
2. read one
3. read all</t>
        </is>
      </c>
      <c r="D67" s="133" t="inlineStr">
        <is>
          <t>Own only; timestamps set; operations idempotent; unread count correct</t>
        </is>
      </c>
      <c r="E67" s="133" t="inlineStr">
        <is>
          <t>Notifications exist</t>
        </is>
      </c>
      <c r="F67" s="169" t="inlineStr">
        <is>
          <t>Pending</t>
        </is>
      </c>
      <c r="G67" s="170" t="n">
        <v>46229</v>
      </c>
      <c r="H67" s="39" t="inlineStr">
        <is>
          <t>Codex QA</t>
        </is>
      </c>
      <c r="I67" s="39" t="inlineStr">
        <is>
          <t>Pending</t>
        </is>
      </c>
      <c r="J67" s="39" t="n"/>
      <c r="K67" s="39" t="n"/>
      <c r="L67" s="39" t="inlineStr">
        <is>
          <t>Pending</t>
        </is>
      </c>
      <c r="M67" s="39" t="n"/>
      <c r="N67" s="39" t="n"/>
      <c r="O67" s="42" t="inlineStr">
        <is>
          <t>Test Data: own/foreign IDs
Priority: P1
Type: Functional, Database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68" ht="22" customHeight="1">
      <c r="A68" s="157" t="inlineStr">
        <is>
          <t>Scenario: UI</t>
        </is>
      </c>
      <c r="B68" s="158" t="n"/>
      <c r="C68" s="159" t="n"/>
      <c r="D68" s="159" t="n"/>
      <c r="E68" s="159" t="n"/>
      <c r="F68" s="159" t="n"/>
      <c r="G68" s="159" t="n"/>
      <c r="H68" s="159" t="n"/>
      <c r="I68" s="159" t="n"/>
      <c r="J68" s="159" t="n"/>
      <c r="K68" s="159" t="n"/>
      <c r="L68" s="159" t="n"/>
      <c r="M68" s="159" t="n"/>
      <c r="N68" s="159" t="n"/>
      <c r="O68" s="160" t="n"/>
    </row>
    <row r="69" ht="121.05" customHeight="1">
      <c r="A69" s="39" t="inlineStr">
        <is>
          <t>STU-038</t>
        </is>
      </c>
      <c r="B69" s="40" t="inlineStr">
        <is>
          <t>[Student] Menus/buttons/states</t>
        </is>
      </c>
      <c r="C69" s="40" t="inlineStr">
        <is>
          <t>1. Đi qua toàn bộ Student menu
2. click CTA/button/modal
3. force API 500/offline</t>
        </is>
      </c>
      <c r="D69" s="133" t="inlineStr">
        <is>
          <t>Menu đúng quyền; button enabled rules; loading/error/empty/retry accessible</t>
        </is>
      </c>
      <c r="E69" s="133" t="inlineStr">
        <is>
          <t>Logged in</t>
        </is>
      </c>
      <c r="F69" s="169" t="inlineStr">
        <is>
          <t>Pending</t>
        </is>
      </c>
      <c r="G69" s="170" t="n">
        <v>46229</v>
      </c>
      <c r="H69" s="39" t="inlineStr">
        <is>
          <t>Codex QA</t>
        </is>
      </c>
      <c r="I69" s="39" t="inlineStr">
        <is>
          <t>Pending</t>
        </is>
      </c>
      <c r="J69" s="39" t="n"/>
      <c r="K69" s="39" t="n"/>
      <c r="L69" s="39" t="inlineStr">
        <is>
          <t>Pending</t>
        </is>
      </c>
      <c r="M69" s="39" t="n"/>
      <c r="N69" s="39" t="n"/>
      <c r="O69" s="42" t="inlineStr">
        <is>
          <t>Test Data: route inventory
Priority: P1
Type: UI, Regression
ROUND 1 ACTUAL RESULT (26 Jul 2026): PENDING — Frontend unit tests, lint, and production build passed, but no Playwright/Cypress browser runner is configured for this end-to-end UI scenario.</t>
        </is>
      </c>
    </row>
    <row r="70" ht="22" customHeight="1">
      <c r="A70" s="157" t="inlineStr">
        <is>
          <t>Scenario: Gap-check</t>
        </is>
      </c>
      <c r="B70" s="158" t="n"/>
      <c r="C70" s="159" t="n"/>
      <c r="D70" s="159" t="n"/>
      <c r="E70" s="159" t="n"/>
      <c r="F70" s="159" t="n"/>
      <c r="G70" s="159" t="n"/>
      <c r="H70" s="159" t="n"/>
      <c r="I70" s="159" t="n"/>
      <c r="J70" s="159" t="n"/>
      <c r="K70" s="159" t="n"/>
      <c r="L70" s="159" t="n"/>
      <c r="M70" s="159" t="n"/>
      <c r="N70" s="159" t="n"/>
      <c r="O70" s="160" t="n"/>
    </row>
    <row r="71" ht="121.05" customHeight="1">
      <c r="A71" s="39" t="inlineStr">
        <is>
          <t>STU-039</t>
        </is>
      </c>
      <c r="B71" s="40" t="inlineStr">
        <is>
          <t>[Student] Reading Practice tồn tại? (UC-14)</t>
        </is>
      </c>
      <c r="C71" s="40" t="inlineStr">
        <is>
          <t>1. Rà route inventory và menu Student
2. thử gọi API nghi ngờ `/api/reading/**` bằng token hợp lệ</t>
        </is>
      </c>
      <c r="D71" s="133" t="inlineStr">
        <is>
          <t>Xác nhận hiện KHÔNG có route/menu/API luyện đọc độc lập; UI không quảng cáo tính năng chưa có; ghi nhận gap để Product xác nhận roadmap</t>
        </is>
      </c>
      <c r="E71" s="133" t="inlineStr">
        <is>
          <t>Logged in</t>
        </is>
      </c>
      <c r="F71" s="171" t="inlineStr">
        <is>
          <t>Passed</t>
        </is>
      </c>
      <c r="G71" s="170" t="n">
        <v>46229</v>
      </c>
      <c r="H71" s="39" t="inlineStr">
        <is>
          <t>Codex QA</t>
        </is>
      </c>
      <c r="I71" s="39" t="inlineStr">
        <is>
          <t>Pending</t>
        </is>
      </c>
      <c r="J71" s="39" t="n"/>
      <c r="K71" s="39" t="n"/>
      <c r="L71" s="39" t="inlineStr">
        <is>
          <t>Pending</t>
        </is>
      </c>
      <c r="M71" s="39" t="n"/>
      <c r="N71" s="39" t="n"/>
      <c r="O71" s="42" t="inlineStr">
        <is>
          <t>Test Data: route/API probe
Priority: P2
Type: Gap, Regression
ROUND 1 ACTUAL RESULT (26 Jul 2026): PASSED — Static route and source inventory confirmed that no standalone Reading Practice route/API is implemented, matching the gap-check expectation.</t>
        </is>
      </c>
    </row>
    <row r="72" ht="121.05" customHeight="1">
      <c r="A72" s="39" t="inlineStr">
        <is>
          <t>STU-040</t>
        </is>
      </c>
      <c r="B72" s="40" t="inlineStr">
        <is>
          <t>[Student] Listening Practice tồn tại? (UC-15)</t>
        </is>
      </c>
      <c r="C72" s="40" t="inlineStr">
        <is>
          <t>Tương tự STU-039 cho `/api/listening/**` và mọi entry point nghe hiểu độc lập</t>
        </is>
      </c>
      <c r="D72" s="133" t="inlineStr">
        <is>
          <t>Xác nhận hiện KHÔNG có route/menu/API luyện nghe độc lập; không có audio player đứng riêng ngoài Speaking/Mock Test</t>
        </is>
      </c>
      <c r="E72" s="133" t="inlineStr">
        <is>
          <t>Logged in</t>
        </is>
      </c>
      <c r="F72" s="171" t="inlineStr">
        <is>
          <t>Passed</t>
        </is>
      </c>
      <c r="G72" s="170" t="n">
        <v>46229</v>
      </c>
      <c r="H72" s="39" t="inlineStr">
        <is>
          <t>Codex QA</t>
        </is>
      </c>
      <c r="I72" s="39" t="inlineStr">
        <is>
          <t>Pending</t>
        </is>
      </c>
      <c r="J72" s="39" t="n"/>
      <c r="K72" s="39" t="n"/>
      <c r="L72" s="39" t="inlineStr">
        <is>
          <t>Pending</t>
        </is>
      </c>
      <c r="M72" s="39" t="n"/>
      <c r="N72" s="39" t="n"/>
      <c r="O72" s="42" t="inlineStr">
        <is>
          <t>Test Data: route/API probe
Priority: P2
Type: Gap, Regression
ROUND 1 ACTUAL RESULT (26 Jul 2026): PASSED — Static route and source inventory confirmed that no standalone Listening Practice route/API is implemented, matching the gap-check expectation.</t>
        </is>
      </c>
    </row>
    <row r="73" ht="121.05" customHeight="1">
      <c r="A73" s="39" t="inlineStr">
        <is>
          <t>STU-041</t>
        </is>
      </c>
      <c r="B73" s="40" t="inlineStr">
        <is>
          <t>[Student] Bookmark Learning tồn tại? (UC-17)</t>
        </is>
      </c>
      <c r="C73" s="40" t="inlineStr">
        <is>
          <t>1. Tìm nút "Bookmark"/"Đánh dấu" trên các trang nội dung (không phải Notebook từ vựng)
2. gọi API nghi ngờ `is_bookmarked`/`/api/bookmarks/**`</t>
        </is>
      </c>
      <c r="D73" s="133" t="inlineStr">
        <is>
          <t>Xác nhận hiện KHÔNG có cờ bookmark áp dụng cho lesson/grammar/kanji/quiz; Notebook (STU-028) chỉ lưu thẻ từ vựng, không phải bookmark đa loại nội dung theo đặc tả UC-17; ghi nhận gap</t>
        </is>
      </c>
      <c r="E73" s="133" t="inlineStr">
        <is>
          <t>Đang xem lesson/grammar/kanji/quiz</t>
        </is>
      </c>
      <c r="F73" s="171" t="inlineStr">
        <is>
          <t>Passed</t>
        </is>
      </c>
      <c r="G73" s="170" t="n">
        <v>46229</v>
      </c>
      <c r="H73" s="39" t="inlineStr">
        <is>
          <t>Codex QA</t>
        </is>
      </c>
      <c r="I73" s="39" t="inlineStr">
        <is>
          <t>Pending</t>
        </is>
      </c>
      <c r="J73" s="39" t="n"/>
      <c r="K73" s="39" t="n"/>
      <c r="L73" s="39" t="inlineStr">
        <is>
          <t>Pending</t>
        </is>
      </c>
      <c r="M73" s="39" t="n"/>
      <c r="N73" s="39" t="n"/>
      <c r="O73" s="42" t="inlineStr">
        <is>
          <t>Test Data: route/API probe
Priority: P2
Type: Gap, Functional
ROUND 1 ACTUAL RESULT (26 Jul 2026): PASSED — Static route and source inventory confirmed that no cross-content bookmark API/flag is implemented; Notebook remains vocabulary-only.</t>
        </is>
      </c>
    </row>
  </sheetData>
  <autoFilter ref="A10:O73"/>
  <mergeCells count="3">
    <mergeCell ref="B3:E3"/>
    <mergeCell ref="B2:E2"/>
    <mergeCell ref="B4:E4"/>
  </mergeCells>
  <dataValidations count="2">
    <dataValidation sqref="F10 I10 L10" showDropDown="0" showInputMessage="0" showErrorMessage="1" allowBlank="1"/>
    <dataValidation sqref="F12:F17 G2:G3 G9 G18:G145 I12:I17 J2:J3 J9 J18:J145 L12:L17 M2:M3 M9 M18:M145" showDropDown="0" showInputMessage="0" showErrorMessage="1" allowBlank="1" type="list">
      <formula1>$R$2:$R$5</formula1>
      <formula2>0</formula2>
    </dataValidation>
  </dataValidations>
  <pageMargins left="0.7479166666666667" right="0.25" top="0.75" bottom="0.9840277777777777" header="0.5" footer="0.5"/>
  <pageSetup orientation="landscape" paperSize="9" fitToWidth="1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2:R5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ColWidth="9" defaultRowHeight="12.75" outlineLevelRow="1"/>
  <cols>
    <col width="16" customWidth="1" style="1" min="1" max="1"/>
    <col width="34" customWidth="1" style="1" min="2" max="2"/>
    <col width="48" customWidth="1" style="1" min="3" max="3"/>
    <col width="48" customWidth="1" style="1" min="4" max="4"/>
    <col width="32" customWidth="1" style="1" min="5" max="5"/>
    <col width="12" customWidth="1" style="1" min="6" max="6"/>
    <col outlineLevel="1" width="14" customWidth="1" style="1" min="7" max="7"/>
    <col outlineLevel="1" width="18" bestFit="1" customWidth="1" style="1" min="8" max="8"/>
    <col width="12" customWidth="1" style="1" min="9" max="9"/>
    <col outlineLevel="1" width="14" customWidth="1" style="1" min="10" max="10"/>
    <col outlineLevel="1" width="18" bestFit="1" customWidth="1" style="1" min="11" max="11"/>
    <col width="12" customWidth="1" style="1" min="12" max="12"/>
    <col outlineLevel="1" width="14" customWidth="1" style="1" min="13" max="13"/>
    <col outlineLevel="1" width="18" bestFit="1" customWidth="1" style="1" min="14" max="14"/>
    <col width="34" customWidth="1" style="1" min="15" max="15"/>
    <col width="10.1328125" customWidth="1" style="1" min="16" max="16"/>
    <col width="8.1328125" customWidth="1" style="28" min="17" max="17"/>
    <col hidden="1" width="7.6640625" customWidth="1" style="1" min="18" max="18"/>
    <col width="9" customWidth="1" style="1" min="19" max="16384"/>
  </cols>
  <sheetData>
    <row r="1" ht="13.15" customHeight="1" thickBot="1"/>
    <row r="2" ht="15" customFormat="1" customHeight="1" s="30">
      <c r="A2" s="92" t="inlineStr">
        <is>
          <t>Workflow</t>
        </is>
      </c>
      <c r="B2" s="139" t="inlineStr">
        <is>
          <t>Staff</t>
        </is>
      </c>
      <c r="C2" s="153" t="n"/>
      <c r="D2" s="153" t="n"/>
      <c r="E2" s="154" t="n"/>
      <c r="F2" s="82" t="n"/>
      <c r="G2" s="76" t="n"/>
      <c r="H2" s="9" t="n"/>
      <c r="I2" s="82" t="n"/>
      <c r="J2" s="76" t="n"/>
      <c r="K2" s="9" t="n"/>
      <c r="L2" s="82" t="n"/>
      <c r="M2" s="76" t="n"/>
      <c r="N2" s="9" t="n"/>
      <c r="O2" s="9" t="n"/>
      <c r="P2" s="9" t="n"/>
      <c r="Q2" s="29" t="n"/>
      <c r="R2" s="30" t="inlineStr">
        <is>
          <t>Passed</t>
        </is>
      </c>
    </row>
    <row r="3" customFormat="1" s="30">
      <c r="A3" s="93" t="inlineStr">
        <is>
          <t>Test requirement</t>
        </is>
      </c>
      <c r="B3" s="141" t="inlineStr">
        <is>
          <t>Staff dashboard, authoring, support, broadcast and grading</t>
        </is>
      </c>
      <c r="C3" s="155" t="n"/>
      <c r="D3" s="155" t="n"/>
      <c r="E3" s="156" t="n"/>
      <c r="F3" s="82" t="n"/>
      <c r="G3" s="76" t="n"/>
      <c r="H3" s="9" t="n"/>
      <c r="I3" s="82" t="n"/>
      <c r="J3" s="76" t="n"/>
      <c r="K3" s="9" t="n"/>
      <c r="L3" s="82" t="n"/>
      <c r="M3" s="76" t="n"/>
      <c r="N3" s="9" t="n"/>
      <c r="O3" s="9" t="n"/>
      <c r="P3" s="9" t="n"/>
      <c r="Q3" s="29" t="n"/>
      <c r="R3" s="30" t="inlineStr">
        <is>
          <t>Failed</t>
        </is>
      </c>
    </row>
    <row r="4" ht="18" customFormat="1" customHeight="1" s="30">
      <c r="A4" s="93" t="inlineStr">
        <is>
          <t>Number of TCs</t>
        </is>
      </c>
      <c r="B4" s="141">
        <f>COUNTA(A12:A1000)</f>
        <v/>
      </c>
      <c r="C4" s="155" t="n"/>
      <c r="D4" s="155" t="n"/>
      <c r="E4" s="156" t="n"/>
      <c r="F4" s="82" t="n"/>
      <c r="G4" s="76" t="n"/>
      <c r="H4" s="9" t="n"/>
      <c r="I4" s="82" t="n"/>
      <c r="J4" s="76" t="n"/>
      <c r="K4" s="9" t="n"/>
      <c r="L4" s="82" t="n"/>
      <c r="M4" s="76" t="n"/>
      <c r="N4" s="9" t="n"/>
      <c r="O4" s="9" t="n"/>
      <c r="P4" s="9" t="n"/>
      <c r="Q4" s="29" t="n"/>
      <c r="R4" s="30" t="inlineStr">
        <is>
          <t>Pending</t>
        </is>
      </c>
    </row>
    <row r="5" ht="19.5" customFormat="1" customHeight="1" s="30">
      <c r="A5" s="86" t="inlineStr">
        <is>
          <t>Testing Round</t>
        </is>
      </c>
      <c r="B5" s="84" t="inlineStr">
        <is>
          <t>Passed</t>
        </is>
      </c>
      <c r="C5" s="84" t="inlineStr">
        <is>
          <t>Failed</t>
        </is>
      </c>
      <c r="D5" s="84" t="inlineStr">
        <is>
          <t>Pending</t>
        </is>
      </c>
      <c r="E5" s="87" t="inlineStr">
        <is>
          <t>N/A</t>
        </is>
      </c>
      <c r="F5" s="77" t="n"/>
      <c r="G5" s="77" t="n"/>
      <c r="H5" s="31" t="n"/>
      <c r="I5" s="77" t="n"/>
      <c r="J5" s="77" t="n"/>
      <c r="K5" s="31" t="n"/>
      <c r="L5" s="77" t="n"/>
      <c r="M5" s="77" t="n"/>
      <c r="N5" s="31" t="n"/>
      <c r="O5" s="31" t="n"/>
      <c r="P5" s="31" t="n"/>
      <c r="Q5" s="32" t="n"/>
      <c r="R5" s="30" t="inlineStr">
        <is>
          <t>N/A</t>
        </is>
      </c>
    </row>
    <row r="6" ht="15" customFormat="1" customHeight="1" s="30">
      <c r="A6" s="86" t="inlineStr">
        <is>
          <t>Round 1</t>
        </is>
      </c>
      <c r="B6" s="85">
        <f>COUNTIF($F$12:$F$1000,"Passed")</f>
        <v/>
      </c>
      <c r="C6" s="85">
        <f>COUNTIF($F$12:$F$1000,"Failed")</f>
        <v/>
      </c>
      <c r="D6" s="85">
        <f>COUNTIF($F$12:$F$1000,"Pending")</f>
        <v/>
      </c>
      <c r="E6" s="91">
        <f>COUNTIF($F$12:$F$1000,"N/A")</f>
        <v/>
      </c>
      <c r="F6" s="78" t="n"/>
      <c r="G6" s="78" t="n"/>
      <c r="H6" s="31" t="n"/>
      <c r="I6" s="78" t="n"/>
      <c r="J6" s="78" t="n"/>
      <c r="K6" s="31" t="n"/>
      <c r="L6" s="78" t="n"/>
      <c r="M6" s="78" t="n"/>
      <c r="N6" s="31" t="n"/>
      <c r="O6" s="31" t="n"/>
      <c r="P6" s="31" t="n"/>
      <c r="Q6" s="32" t="n"/>
    </row>
    <row r="7" ht="15" customFormat="1" customHeight="1" s="30">
      <c r="A7" s="86" t="inlineStr">
        <is>
          <t>Round 2</t>
        </is>
      </c>
      <c r="B7" s="85">
        <f>COUNTIF($I$12:$I$1000,"Passed")</f>
        <v/>
      </c>
      <c r="C7" s="85">
        <f>COUNTIF($I$12:$I$1000,"Failed")</f>
        <v/>
      </c>
      <c r="D7" s="85">
        <f>COUNTIF($I$12:$I$1000,"Pending")</f>
        <v/>
      </c>
      <c r="E7" s="91">
        <f>COUNTIF($I$12:$I$1000,"N/A")</f>
        <v/>
      </c>
      <c r="F7" s="78" t="n"/>
      <c r="G7" s="78" t="n"/>
      <c r="H7" s="31" t="n"/>
      <c r="I7" s="78" t="n"/>
      <c r="J7" s="78" t="n"/>
      <c r="K7" s="31" t="n"/>
      <c r="L7" s="78" t="n"/>
      <c r="M7" s="78" t="n"/>
      <c r="N7" s="31" t="n"/>
      <c r="O7" s="31" t="n"/>
      <c r="P7" s="31" t="n"/>
      <c r="Q7" s="32" t="n"/>
    </row>
    <row r="8" ht="15" customFormat="1" customHeight="1" s="30" thickBot="1">
      <c r="A8" s="88" t="inlineStr">
        <is>
          <t>Round 3</t>
        </is>
      </c>
      <c r="B8" s="89">
        <f>COUNTIF($L$12:$L$1000,"Passed")</f>
        <v/>
      </c>
      <c r="C8" s="89">
        <f>COUNTIF($L$12:$L$1000,"Failed")</f>
        <v/>
      </c>
      <c r="D8" s="89">
        <f>COUNTIF($L$12:$L$1000,"Pending")</f>
        <v/>
      </c>
      <c r="E8" s="90">
        <f>COUNTIF($L$12:$L$1000,"N/A")</f>
        <v/>
      </c>
      <c r="F8" s="78" t="n"/>
      <c r="G8" s="78" t="n"/>
      <c r="H8" s="31" t="n"/>
      <c r="I8" s="78" t="n"/>
      <c r="J8" s="78" t="n"/>
      <c r="K8" s="31" t="n"/>
      <c r="L8" s="78" t="n"/>
      <c r="M8" s="78" t="n"/>
      <c r="N8" s="31" t="n"/>
      <c r="O8" s="31" t="n"/>
      <c r="P8" s="31" t="n"/>
      <c r="Q8" s="32" t="n"/>
    </row>
    <row r="9" ht="15" customFormat="1" customHeight="1" s="30">
      <c r="A9" s="31" t="n"/>
      <c r="B9" s="31" t="n"/>
      <c r="C9" s="31" t="n"/>
      <c r="D9" s="31" t="n"/>
      <c r="E9" s="31" t="n"/>
      <c r="F9" s="33" t="n"/>
      <c r="G9" s="31" t="n"/>
      <c r="H9" s="31" t="n"/>
      <c r="I9" s="33" t="n"/>
      <c r="J9" s="31" t="n"/>
      <c r="K9" s="31" t="n"/>
      <c r="L9" s="33" t="n"/>
      <c r="M9" s="31" t="n"/>
      <c r="N9" s="31" t="n"/>
      <c r="O9" s="31" t="n"/>
      <c r="P9" s="31" t="n"/>
      <c r="Q9" s="32" t="n"/>
    </row>
    <row r="10" ht="25.5" customFormat="1" customHeight="1" s="30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 t="n"/>
    </row>
    <row r="11" ht="22" customFormat="1" customHeight="1" s="30">
      <c r="A11" s="157" t="inlineStr">
        <is>
          <t>Scenario: Dashboard</t>
        </is>
      </c>
      <c r="B11" s="158" t="n"/>
      <c r="C11" s="159" t="n"/>
      <c r="D11" s="159" t="n"/>
      <c r="E11" s="159" t="n"/>
      <c r="F11" s="159" t="n"/>
      <c r="G11" s="159" t="n"/>
      <c r="H11" s="159" t="n"/>
      <c r="I11" s="159" t="n"/>
      <c r="J11" s="159" t="n"/>
      <c r="K11" s="159" t="n"/>
      <c r="L11" s="159" t="n"/>
      <c r="M11" s="159" t="n"/>
      <c r="N11" s="159" t="n"/>
      <c r="O11" s="160" t="n"/>
    </row>
    <row r="12" outlineLevel="1" ht="121.05" customFormat="1" customHeight="1" s="44">
      <c r="A12" s="39" t="inlineStr">
        <is>
          <t>STF-001</t>
        </is>
      </c>
      <c r="B12" s="40" t="inlineStr">
        <is>
          <t>[Staff] Metrics/tasks</t>
        </is>
      </c>
      <c r="C12" s="40" t="inlineStr">
        <is>
          <t>1. Mở `/staff`
2. compare API/DB</t>
        </is>
      </c>
      <c r="D12" s="133" t="inlineStr">
        <is>
          <t>KPI/task list chính xác; no Admin/Manager action</t>
        </is>
      </c>
      <c r="E12" s="133" t="inlineStr">
        <is>
          <t>Staff logged in</t>
        </is>
      </c>
      <c r="F12" s="169" t="inlineStr">
        <is>
          <t>Pending</t>
        </is>
      </c>
      <c r="G12" s="170" t="n">
        <v>46229</v>
      </c>
      <c r="H12" s="39" t="inlineStr">
        <is>
          <t>Codex QA</t>
        </is>
      </c>
      <c r="I12" s="39" t="inlineStr">
        <is>
          <t>Pending</t>
        </is>
      </c>
      <c r="J12" s="39" t="n"/>
      <c r="K12" s="39" t="n"/>
      <c r="L12" s="39" t="inlineStr">
        <is>
          <t>Pending</t>
        </is>
      </c>
      <c r="M12" s="39" t="n"/>
      <c r="N12" s="39" t="n"/>
      <c r="O12" s="42" t="inlineStr">
        <is>
          <t>Test Data: seeded content/tickets
Priority: P1
Type: Smoke, Database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13" outlineLevel="1" ht="22" customHeight="1">
      <c r="A13" s="157" t="inlineStr">
        <is>
          <t>Scenario: Students</t>
        </is>
      </c>
      <c r="B13" s="158" t="n"/>
      <c r="C13" s="159" t="n"/>
      <c r="D13" s="159" t="n"/>
      <c r="E13" s="159" t="n"/>
      <c r="F13" s="159" t="n"/>
      <c r="G13" s="159" t="n"/>
      <c r="H13" s="159" t="n"/>
      <c r="I13" s="159" t="n"/>
      <c r="J13" s="159" t="n"/>
      <c r="K13" s="159" t="n"/>
      <c r="L13" s="159" t="n"/>
      <c r="M13" s="159" t="n"/>
      <c r="N13" s="159" t="n"/>
      <c r="O13" s="160" t="n"/>
    </row>
    <row r="14" outlineLevel="1" ht="121.05" customHeight="1">
      <c r="A14" s="39" t="inlineStr">
        <is>
          <t>STF-002</t>
        </is>
      </c>
      <c r="B14" s="40" t="inlineStr">
        <is>
          <t>[Staff] List/filter/progress</t>
        </is>
      </c>
      <c r="C14" s="40" t="inlineStr">
        <is>
          <t>1. Search/filter/page
2. open progress</t>
        </is>
      </c>
      <c r="D14" s="133" t="inlineStr">
        <is>
          <t>Correct data; no password/token; pagination đúng</t>
        </is>
      </c>
      <c r="E14" s="133" t="inlineStr">
        <is>
          <t>Students exist</t>
        </is>
      </c>
      <c r="F14" s="169" t="inlineStr">
        <is>
          <t>Pending</t>
        </is>
      </c>
      <c r="G14" s="170" t="n">
        <v>46229</v>
      </c>
      <c r="H14" s="39" t="inlineStr">
        <is>
          <t>Codex QA</t>
        </is>
      </c>
      <c r="I14" s="39" t="inlineStr">
        <is>
          <t>Pending</t>
        </is>
      </c>
      <c r="J14" s="39" t="n"/>
      <c r="K14" s="39" t="n"/>
      <c r="L14" s="39" t="inlineStr">
        <is>
          <t>Pending</t>
        </is>
      </c>
      <c r="M14" s="39" t="n"/>
      <c r="N14" s="39" t="n"/>
      <c r="O14" s="42" t="inlineStr">
        <is>
          <t>Test Data: status/level/query
Priority: P1
Type: Functional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15" ht="121.05" customFormat="1" customHeight="1" s="30">
      <c r="A15" s="39" t="inlineStr">
        <is>
          <t>STF-003</t>
        </is>
      </c>
      <c r="B15" s="40" t="inlineStr">
        <is>
          <t>[Staff] Suspend/activate</t>
        </is>
      </c>
      <c r="C15" s="40" t="inlineStr">
        <is>
          <t>1. Suspend with reason
2. activate
3. concurrent change</t>
        </is>
      </c>
      <c r="D15" s="133" t="inlineStr">
        <is>
          <t>State valid; audit row; UI refresh; conflict handled</t>
        </is>
      </c>
      <c r="E15" s="133" t="inlineStr">
        <is>
          <t>Target active/suspended</t>
        </is>
      </c>
      <c r="F15" s="169" t="inlineStr">
        <is>
          <t>Pending</t>
        </is>
      </c>
      <c r="G15" s="170" t="n">
        <v>46229</v>
      </c>
      <c r="H15" s="39" t="inlineStr">
        <is>
          <t>Codex QA</t>
        </is>
      </c>
      <c r="I15" s="39" t="inlineStr">
        <is>
          <t>Pending</t>
        </is>
      </c>
      <c r="J15" s="39" t="n"/>
      <c r="K15" s="39" t="n"/>
      <c r="L15" s="39" t="inlineStr">
        <is>
          <t>Pending</t>
        </is>
      </c>
      <c r="M15" s="39" t="n"/>
      <c r="N15" s="39" t="n"/>
      <c r="O15" s="42" t="inlineStr">
        <is>
          <t>Test Data: reason boundaries
Priority: P0
Type: Functional, Concurrent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16" outlineLevel="1" ht="22" customHeight="1">
      <c r="A16" s="157" t="inlineStr">
        <is>
          <t>Scenario: Questions</t>
        </is>
      </c>
      <c r="B16" s="158" t="n"/>
      <c r="C16" s="159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  <c r="O16" s="160" t="n"/>
    </row>
    <row r="17" outlineLevel="1" ht="121.05" customHeight="1">
      <c r="A17" s="39" t="inlineStr">
        <is>
          <t>STF-004</t>
        </is>
      </c>
      <c r="B17" s="40" t="inlineStr">
        <is>
          <t>[Staff] Create positive</t>
        </is>
      </c>
      <c r="C17" s="40" t="inlineStr">
        <is>
          <t>Create MC/fill/true-false</t>
        </is>
      </c>
      <c r="D17" s="133" t="inlineStr">
        <is>
          <t>Draft created_by Staff; correct fields; UI row appears</t>
        </is>
      </c>
      <c r="E17" s="133" t="inlineStr">
        <is>
          <t>Staff logged in</t>
        </is>
      </c>
      <c r="F17" s="169" t="inlineStr">
        <is>
          <t>Pending</t>
        </is>
      </c>
      <c r="G17" s="170" t="n">
        <v>46229</v>
      </c>
      <c r="H17" s="39" t="inlineStr">
        <is>
          <t>Codex QA</t>
        </is>
      </c>
      <c r="I17" s="39" t="inlineStr">
        <is>
          <t>Pending</t>
        </is>
      </c>
      <c r="J17" s="39" t="n"/>
      <c r="K17" s="39" t="n"/>
      <c r="L17" s="39" t="inlineStr">
        <is>
          <t>Pending</t>
        </is>
      </c>
      <c r="M17" s="39" t="n"/>
      <c r="N17" s="39" t="n"/>
      <c r="O17" s="42" t="inlineStr">
        <is>
          <t>Test Data: valid per type
Priority: P0
Type: Functional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18" ht="121.05" customFormat="1" customHeight="1" s="30">
      <c r="A18" s="39" t="inlineStr">
        <is>
          <t>STF-005</t>
        </is>
      </c>
      <c r="B18" s="40" t="inlineStr">
        <is>
          <t>[Staff] Validation/boundary</t>
        </is>
      </c>
      <c r="C18" s="40" t="inlineStr">
        <is>
          <t>1. Missing correct answer/options
2. bad level/type
3. long text/XSS</t>
        </is>
      </c>
      <c r="D18" s="133" t="inlineStr">
        <is>
          <t>400; no partial row; safe rendering</t>
        </is>
      </c>
      <c r="E18" s="133" t="inlineStr">
        <is>
          <t>None</t>
        </is>
      </c>
      <c r="F18" s="169" t="inlineStr">
        <is>
          <t>Pending</t>
        </is>
      </c>
      <c r="G18" s="170" t="n">
        <v>46229</v>
      </c>
      <c r="H18" s="39" t="inlineStr">
        <is>
          <t>Codex QA</t>
        </is>
      </c>
      <c r="I18" s="39" t="inlineStr">
        <is>
          <t>Pending</t>
        </is>
      </c>
      <c r="J18" s="39" t="n"/>
      <c r="K18" s="39" t="n"/>
      <c r="L18" s="39" t="inlineStr">
        <is>
          <t>Pending</t>
        </is>
      </c>
      <c r="M18" s="39" t="n"/>
      <c r="N18" s="39" t="n"/>
      <c r="O18" s="42" t="inlineStr">
        <is>
          <t>Test Data: invalid set
Priority: P0
Type: Negative, Security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19" outlineLevel="1" ht="121.05" customHeight="1">
      <c r="A19" s="39" t="inlineStr">
        <is>
          <t>STF-006</t>
        </is>
      </c>
      <c r="B19" s="40" t="inlineStr">
        <is>
          <t>[Staff] List/detail/update</t>
        </is>
      </c>
      <c r="C19" s="40" t="inlineStr">
        <is>
          <t>1. Filter
2. detail
3. update editable content</t>
        </is>
      </c>
      <c r="D19" s="133" t="inlineStr">
        <is>
          <t>Correct list; update timestamp/content; ownership/state rules enforced</t>
        </is>
      </c>
      <c r="E19" s="133" t="inlineStr">
        <is>
          <t>Own/other draft exists</t>
        </is>
      </c>
      <c r="F19" s="169" t="inlineStr">
        <is>
          <t>Pending</t>
        </is>
      </c>
      <c r="G19" s="170" t="n">
        <v>46229</v>
      </c>
      <c r="H19" s="39" t="inlineStr">
        <is>
          <t>Codex QA</t>
        </is>
      </c>
      <c r="I19" s="39" t="inlineStr">
        <is>
          <t>Pending</t>
        </is>
      </c>
      <c r="J19" s="39" t="n"/>
      <c r="K19" s="39" t="n"/>
      <c r="L19" s="39" t="inlineStr">
        <is>
          <t>Pending</t>
        </is>
      </c>
      <c r="M19" s="39" t="n"/>
      <c r="N19" s="39" t="n"/>
      <c r="O19" s="42" t="inlineStr">
        <is>
          <t>Test Data: valid update
Priority: P1
Type: Functional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20" ht="121.05" customHeight="1">
      <c r="A20" s="39" t="inlineStr">
        <is>
          <t>STF-007</t>
        </is>
      </c>
      <c r="B20" s="40" t="inlineStr">
        <is>
          <t>[Staff] Submit review/locked</t>
        </is>
      </c>
      <c r="C20" s="40" t="inlineStr">
        <is>
          <t>1. Submit
2. edit pending/published/attempt-used question</t>
        </is>
      </c>
      <c r="D20" s="133" t="inlineStr">
        <is>
          <t>Valid → pending; incomplete blocked; immutable result integrity</t>
        </is>
      </c>
      <c r="E20" s="133" t="inlineStr">
        <is>
          <t>Complete/incomplete/used question</t>
        </is>
      </c>
      <c r="F20" s="169" t="inlineStr">
        <is>
          <t>Pending</t>
        </is>
      </c>
      <c r="G20" s="170" t="n">
        <v>46229</v>
      </c>
      <c r="H20" s="39" t="inlineStr">
        <is>
          <t>Codex QA</t>
        </is>
      </c>
      <c r="I20" s="39" t="inlineStr">
        <is>
          <t>Pending</t>
        </is>
      </c>
      <c r="J20" s="39" t="n"/>
      <c r="K20" s="39" t="n"/>
      <c r="L20" s="39" t="inlineStr">
        <is>
          <t>Pending</t>
        </is>
      </c>
      <c r="M20" s="39" t="n"/>
      <c r="N20" s="39" t="n"/>
      <c r="O20" s="42" t="inlineStr">
        <is>
          <t>Test Data: fixtures
Priority: P0
Type: Workflow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21" ht="22" customHeight="1">
      <c r="A21" s="157" t="inlineStr">
        <is>
          <t>Scenario: Grammar</t>
        </is>
      </c>
      <c r="B21" s="158" t="n"/>
      <c r="C21" s="159" t="n"/>
      <c r="D21" s="159" t="n"/>
      <c r="E21" s="159" t="n"/>
      <c r="F21" s="159" t="n"/>
      <c r="G21" s="159" t="n"/>
      <c r="H21" s="159" t="n"/>
      <c r="I21" s="159" t="n"/>
      <c r="J21" s="159" t="n"/>
      <c r="K21" s="159" t="n"/>
      <c r="L21" s="159" t="n"/>
      <c r="M21" s="159" t="n"/>
      <c r="N21" s="159" t="n"/>
      <c r="O21" s="160" t="n"/>
    </row>
    <row r="22" ht="121.05" customHeight="1">
      <c r="A22" s="39" t="inlineStr">
        <is>
          <t>STF-008</t>
        </is>
      </c>
      <c r="B22" s="40" t="inlineStr">
        <is>
          <t>[Staff] CRUD/submit</t>
        </is>
      </c>
      <c r="C22" s="40" t="inlineStr">
        <is>
          <t>Create, list, detail, update, submit</t>
        </is>
      </c>
      <c r="D22" s="133" t="inlineStr">
        <is>
          <t>Draft→pending; creator set; validation/audit as expected</t>
        </is>
      </c>
      <c r="E22" s="133" t="inlineStr">
        <is>
          <t>Staff logged in</t>
        </is>
      </c>
      <c r="F22" s="169" t="inlineStr">
        <is>
          <t>Pending</t>
        </is>
      </c>
      <c r="G22" s="170" t="n">
        <v>46229</v>
      </c>
      <c r="H22" s="39" t="inlineStr">
        <is>
          <t>Codex QA</t>
        </is>
      </c>
      <c r="I22" s="39" t="inlineStr">
        <is>
          <t>Pending</t>
        </is>
      </c>
      <c r="J22" s="39" t="n"/>
      <c r="K22" s="39" t="n"/>
      <c r="L22" s="39" t="inlineStr">
        <is>
          <t>Pending</t>
        </is>
      </c>
      <c r="M22" s="39" t="n"/>
      <c r="N22" s="39" t="n"/>
      <c r="O22" s="42" t="inlineStr">
        <is>
          <t>Test Data: valid grammar
Priority: P1
Type: Functional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23" ht="22" customHeight="1">
      <c r="A23" s="157" t="inlineStr">
        <is>
          <t>Scenario: Vocabulary Topic</t>
        </is>
      </c>
      <c r="B23" s="158" t="n"/>
      <c r="C23" s="159" t="n"/>
      <c r="D23" s="159" t="n"/>
      <c r="E23" s="159" t="n"/>
      <c r="F23" s="159" t="n"/>
      <c r="G23" s="159" t="n"/>
      <c r="H23" s="159" t="n"/>
      <c r="I23" s="159" t="n"/>
      <c r="J23" s="159" t="n"/>
      <c r="K23" s="159" t="n"/>
      <c r="L23" s="159" t="n"/>
      <c r="M23" s="159" t="n"/>
      <c r="N23" s="159" t="n"/>
      <c r="O23" s="160" t="n"/>
    </row>
    <row r="24" ht="121.05" customHeight="1">
      <c r="A24" s="39" t="inlineStr">
        <is>
          <t>STF-009</t>
        </is>
      </c>
      <c r="B24" s="40" t="inlineStr">
        <is>
          <t>[Staff] List/create unique</t>
        </is>
      </c>
      <c r="C24" s="40" t="inlineStr">
        <is>
          <t>1. Create topic
2. duplicate slug/title
3. boundary order</t>
        </is>
      </c>
      <c r="D24" s="133" t="inlineStr">
        <is>
          <t>Unique constraints surfaced as 409/validation; no 500</t>
        </is>
      </c>
      <c r="E24" s="133" t="inlineStr">
        <is>
          <t>Staff logged in</t>
        </is>
      </c>
      <c r="F24" s="169" t="inlineStr">
        <is>
          <t>Pending</t>
        </is>
      </c>
      <c r="G24" s="170" t="n">
        <v>46229</v>
      </c>
      <c r="H24" s="39" t="inlineStr">
        <is>
          <t>Codex QA</t>
        </is>
      </c>
      <c r="I24" s="39" t="inlineStr">
        <is>
          <t>Pending</t>
        </is>
      </c>
      <c r="J24" s="39" t="n"/>
      <c r="K24" s="39" t="n"/>
      <c r="L24" s="39" t="inlineStr">
        <is>
          <t>Pending</t>
        </is>
      </c>
      <c r="M24" s="39" t="n"/>
      <c r="N24" s="39" t="n"/>
      <c r="O24" s="42" t="inlineStr">
        <is>
          <t>Test Data: N5 topic
Priority: P1
Type: Functional, Database
ROUND 1 ACTUAL RESULT (26 Jul 2026): PARTIALLY EXECUTED — VocabularyTopicService tests passed slug generation and selected delete/restore rules; full create/list/unique API/UI flow remains.</t>
        </is>
      </c>
    </row>
    <row r="25" ht="22" customHeight="1">
      <c r="A25" s="157" t="inlineStr">
        <is>
          <t>Scenario: Learning Content</t>
        </is>
      </c>
      <c r="B25" s="158" t="n"/>
      <c r="C25" s="159" t="n"/>
      <c r="D25" s="159" t="n"/>
      <c r="E25" s="159" t="n"/>
      <c r="F25" s="159" t="n"/>
      <c r="G25" s="159" t="n"/>
      <c r="H25" s="159" t="n"/>
      <c r="I25" s="159" t="n"/>
      <c r="J25" s="159" t="n"/>
      <c r="K25" s="159" t="n"/>
      <c r="L25" s="159" t="n"/>
      <c r="M25" s="159" t="n"/>
      <c r="N25" s="159" t="n"/>
      <c r="O25" s="160" t="n"/>
    </row>
    <row r="26" ht="121.05" customHeight="1">
      <c r="A26" s="39" t="inlineStr">
        <is>
          <t>STF-010</t>
        </is>
      </c>
      <c r="B26" s="40" t="inlineStr">
        <is>
          <t>[Staff] Lesson update</t>
        </is>
      </c>
      <c r="C26" s="40" t="inlineStr">
        <is>
          <t>1. List/filter
2. update text/media/status</t>
        </is>
      </c>
      <c r="D26" s="133" t="inlineStr">
        <is>
          <t>Fields update; cannot directly publish as Staff; validation works</t>
        </is>
      </c>
      <c r="E26" s="133" t="inlineStr">
        <is>
          <t>Own lesson draft</t>
        </is>
      </c>
      <c r="F26" s="169" t="inlineStr">
        <is>
          <t>Pending</t>
        </is>
      </c>
      <c r="G26" s="170" t="n">
        <v>46229</v>
      </c>
      <c r="H26" s="39" t="inlineStr">
        <is>
          <t>Codex QA</t>
        </is>
      </c>
      <c r="I26" s="39" t="inlineStr">
        <is>
          <t>Pending</t>
        </is>
      </c>
      <c r="J26" s="39" t="n"/>
      <c r="K26" s="39" t="n"/>
      <c r="L26" s="39" t="inlineStr">
        <is>
          <t>Pending</t>
        </is>
      </c>
      <c r="M26" s="39" t="n"/>
      <c r="N26" s="39" t="n"/>
      <c r="O26" s="42" t="inlineStr">
        <is>
          <t>Test Data: valid/invalid
Priority: P0
Type: Permission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27" ht="121.05" customHeight="1">
      <c r="A27" s="39" t="inlineStr">
        <is>
          <t>STF-011</t>
        </is>
      </c>
      <c r="B27" s="40" t="inlineStr">
        <is>
          <t>[Staff] Vocabulary CRUD</t>
        </is>
      </c>
      <c r="C27" s="40" t="inlineStr">
        <is>
          <t>Create/list/detail/update/submit review</t>
        </is>
      </c>
      <c r="D27" s="133" t="inlineStr">
        <is>
          <t>FK topic valid; draft→pending; Unicode stored utf8mb4</t>
        </is>
      </c>
      <c r="E27" s="133" t="inlineStr">
        <is>
          <t>Topic exists</t>
        </is>
      </c>
      <c r="F27" s="169" t="inlineStr">
        <is>
          <t>Pending</t>
        </is>
      </c>
      <c r="G27" s="170" t="n">
        <v>46229</v>
      </c>
      <c r="H27" s="39" t="inlineStr">
        <is>
          <t>Codex QA</t>
        </is>
      </c>
      <c r="I27" s="39" t="inlineStr">
        <is>
          <t>Pending</t>
        </is>
      </c>
      <c r="J27" s="39" t="n"/>
      <c r="K27" s="39" t="n"/>
      <c r="L27" s="39" t="inlineStr">
        <is>
          <t>Pending</t>
        </is>
      </c>
      <c r="M27" s="39" t="n"/>
      <c r="N27" s="39" t="n"/>
      <c r="O27" s="42" t="inlineStr">
        <is>
          <t>Test Data: JP vocab
Priority: P0
Type: Functional, Database
ROUND 1 ACTUAL RESULT (26 Jul 2026): PARTIALLY EXECUTED — Vocabulary topic delete/restore tests passed selected database state rules; complete vocabulary CRUD/Unicode workflow remains.</t>
        </is>
      </c>
    </row>
    <row r="28" ht="121.05" customHeight="1">
      <c r="A28" s="39" t="inlineStr">
        <is>
          <t>STF-012</t>
        </is>
      </c>
      <c r="B28" s="40" t="inlineStr">
        <is>
          <t>[Staff] Kanji CRUD</t>
        </is>
      </c>
      <c r="C28" s="40" t="inlineStr">
        <is>
          <t>Create/list/detail/update/submit</t>
        </is>
      </c>
      <c r="D28" s="133" t="inlineStr">
        <is>
          <t>Unique character enforced; state/creator correct</t>
        </is>
      </c>
      <c r="E28" s="133" t="inlineStr">
        <is>
          <t>Staff logged in</t>
        </is>
      </c>
      <c r="F28" s="169" t="inlineStr">
        <is>
          <t>Pending</t>
        </is>
      </c>
      <c r="G28" s="170" t="n">
        <v>46229</v>
      </c>
      <c r="H28" s="39" t="inlineStr">
        <is>
          <t>Codex QA</t>
        </is>
      </c>
      <c r="I28" s="39" t="inlineStr">
        <is>
          <t>Pending</t>
        </is>
      </c>
      <c r="J28" s="39" t="n"/>
      <c r="K28" s="39" t="n"/>
      <c r="L28" s="39" t="inlineStr">
        <is>
          <t>Pending</t>
        </is>
      </c>
      <c r="M28" s="39" t="n"/>
      <c r="N28" s="39" t="n"/>
      <c r="O28" s="42" t="inlineStr">
        <is>
          <t>Test Data: Kanji duplicate/valid
Priority: P0
Type: Functional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29" ht="22" customHeight="1">
      <c r="A29" s="157" t="inlineStr">
        <is>
          <t>Scenario: Speaking Authoring</t>
        </is>
      </c>
      <c r="B29" s="158" t="n"/>
      <c r="C29" s="159" t="n"/>
      <c r="D29" s="159" t="n"/>
      <c r="E29" s="159" t="n"/>
      <c r="F29" s="159" t="n"/>
      <c r="G29" s="159" t="n"/>
      <c r="H29" s="159" t="n"/>
      <c r="I29" s="159" t="n"/>
      <c r="J29" s="159" t="n"/>
      <c r="K29" s="159" t="n"/>
      <c r="L29" s="159" t="n"/>
      <c r="M29" s="159" t="n"/>
      <c r="N29" s="159" t="n"/>
      <c r="O29" s="160" t="n"/>
    </row>
    <row r="30" ht="121.05" customHeight="1">
      <c r="A30" s="39" t="inlineStr">
        <is>
          <t>STF-013</t>
        </is>
      </c>
      <c r="B30" s="40" t="inlineStr">
        <is>
          <t>[Staff] Create/update/detail</t>
        </is>
      </c>
      <c r="C30" s="40" t="inlineStr">
        <is>
          <t>1. Create speaking lesson/questions
2. edit
3. get own</t>
        </is>
      </c>
      <c r="D30" s="133" t="inlineStr">
        <is>
          <t>Lesson/questions transactionally saved; order correct</t>
        </is>
      </c>
      <c r="E30" s="133" t="inlineStr">
        <is>
          <t>Staff logged in</t>
        </is>
      </c>
      <c r="F30" s="171" t="inlineStr">
        <is>
          <t>Passed</t>
        </is>
      </c>
      <c r="G30" s="170" t="n">
        <v>46229</v>
      </c>
      <c r="H30" s="39" t="inlineStr">
        <is>
          <t>Codex QA</t>
        </is>
      </c>
      <c r="I30" s="39" t="inlineStr">
        <is>
          <t>Pending</t>
        </is>
      </c>
      <c r="J30" s="39" t="n"/>
      <c r="K30" s="39" t="n"/>
      <c r="L30" s="39" t="inlineStr">
        <is>
          <t>Pending</t>
        </is>
      </c>
      <c r="M30" s="39" t="n"/>
      <c r="N30" s="39" t="n"/>
      <c r="O30" s="42" t="inlineStr">
        <is>
          <t>Test Data: valid/boundary
Priority: P1
Type: Functional
ROUND 1 ACTUAL RESULT (26 Jul 2026): PASSED — SpeakingAuthoringServiceTest passed create, update, detail, ordering, validation, and atomic replacement checks.</t>
        </is>
      </c>
    </row>
    <row r="31" ht="22" customHeight="1">
      <c r="A31" s="157" t="inlineStr">
        <is>
          <t>Scenario: Quiz</t>
        </is>
      </c>
      <c r="B31" s="158" t="n"/>
      <c r="C31" s="159" t="n"/>
      <c r="D31" s="159" t="n"/>
      <c r="E31" s="159" t="n"/>
      <c r="F31" s="159" t="n"/>
      <c r="G31" s="159" t="n"/>
      <c r="H31" s="159" t="n"/>
      <c r="I31" s="159" t="n"/>
      <c r="J31" s="159" t="n"/>
      <c r="K31" s="159" t="n"/>
      <c r="L31" s="159" t="n"/>
      <c r="M31" s="159" t="n"/>
      <c r="N31" s="159" t="n"/>
      <c r="O31" s="160" t="n"/>
    </row>
    <row r="32" ht="121.05" customHeight="1">
      <c r="A32" s="39" t="inlineStr">
        <is>
          <t>STF-014</t>
        </is>
      </c>
      <c r="B32" s="40" t="inlineStr">
        <is>
          <t>[Staff] Create/list/detail/update</t>
        </is>
      </c>
      <c r="C32" s="40" t="inlineStr">
        <is>
          <t>CRUD quiz</t>
        </is>
      </c>
      <c r="D32" s="133" t="inlineStr">
        <is>
          <t>Assessment type=quiz; validation; UI state correct</t>
        </is>
      </c>
      <c r="E32" s="133" t="inlineStr">
        <is>
          <t>Questions exist</t>
        </is>
      </c>
      <c r="F32" s="169" t="inlineStr">
        <is>
          <t>Pending</t>
        </is>
      </c>
      <c r="G32" s="170" t="n">
        <v>46229</v>
      </c>
      <c r="H32" s="39" t="inlineStr">
        <is>
          <t>Codex QA</t>
        </is>
      </c>
      <c r="I32" s="39" t="inlineStr">
        <is>
          <t>Pending</t>
        </is>
      </c>
      <c r="J32" s="39" t="n"/>
      <c r="K32" s="39" t="n"/>
      <c r="L32" s="39" t="inlineStr">
        <is>
          <t>Pending</t>
        </is>
      </c>
      <c r="M32" s="39" t="n"/>
      <c r="N32" s="39" t="n"/>
      <c r="O32" s="42" t="inlineStr">
        <is>
          <t>Test Data: score/duration/level boundaries
Priority: P0
Type: Functional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33" ht="121.05" customHeight="1">
      <c r="A33" s="39" t="inlineStr">
        <is>
          <t>STF-015</t>
        </is>
      </c>
      <c r="B33" s="40" t="inlineStr">
        <is>
          <t>[Staff] Assign questions</t>
        </is>
      </c>
      <c r="C33" s="40" t="inlineStr">
        <is>
          <t>Assign/reorder/duplicate/foreign question</t>
        </is>
      </c>
      <c r="D33" s="133" t="inlineStr">
        <is>
          <t>Unique prevents duplicate; score/display order correct; atomic failure</t>
        </is>
      </c>
      <c r="E33" s="133" t="inlineStr">
        <is>
          <t>Draft quiz</t>
        </is>
      </c>
      <c r="F33" s="169" t="inlineStr">
        <is>
          <t>Pending</t>
        </is>
      </c>
      <c r="G33" s="170" t="n">
        <v>46229</v>
      </c>
      <c r="H33" s="39" t="inlineStr">
        <is>
          <t>Codex QA</t>
        </is>
      </c>
      <c r="I33" s="39" t="inlineStr">
        <is>
          <t>Pending</t>
        </is>
      </c>
      <c r="J33" s="39" t="n"/>
      <c r="K33" s="39" t="n"/>
      <c r="L33" s="39" t="inlineStr">
        <is>
          <t>Pending</t>
        </is>
      </c>
      <c r="M33" s="39" t="n"/>
      <c r="N33" s="39" t="n"/>
      <c r="O33" s="42" t="inlineStr">
        <is>
          <t>Test Data: assignments
Priority: P0
Type: Integration, Database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34" ht="22" customHeight="1">
      <c r="A34" s="157" t="inlineStr">
        <is>
          <t>Scenario: Exam</t>
        </is>
      </c>
      <c r="B34" s="158" t="n"/>
      <c r="C34" s="159" t="n"/>
      <c r="D34" s="159" t="n"/>
      <c r="E34" s="159" t="n"/>
      <c r="F34" s="159" t="n"/>
      <c r="G34" s="159" t="n"/>
      <c r="H34" s="159" t="n"/>
      <c r="I34" s="159" t="n"/>
      <c r="J34" s="159" t="n"/>
      <c r="K34" s="159" t="n"/>
      <c r="L34" s="159" t="n"/>
      <c r="M34" s="159" t="n"/>
      <c r="N34" s="159" t="n"/>
      <c r="O34" s="160" t="n"/>
    </row>
    <row r="35" ht="121.05" customHeight="1">
      <c r="A35" s="39" t="inlineStr">
        <is>
          <t>STF-016</t>
        </is>
      </c>
      <c r="B35" s="40" t="inlineStr">
        <is>
          <t>[Staff] Create/list/detail/update</t>
        </is>
      </c>
      <c r="C35" s="40" t="inlineStr">
        <is>
          <t>CRUD exam</t>
        </is>
      </c>
      <c r="D35" s="133" t="inlineStr">
        <is>
          <t>Assessment type=exam; filters and fields correct</t>
        </is>
      </c>
      <c r="E35" s="133" t="inlineStr">
        <is>
          <t>Questions exist</t>
        </is>
      </c>
      <c r="F35" s="169" t="inlineStr">
        <is>
          <t>Pending</t>
        </is>
      </c>
      <c r="G35" s="170" t="n">
        <v>46229</v>
      </c>
      <c r="H35" s="39" t="inlineStr">
        <is>
          <t>Codex QA</t>
        </is>
      </c>
      <c r="I35" s="39" t="inlineStr">
        <is>
          <t>Pending</t>
        </is>
      </c>
      <c r="J35" s="39" t="n"/>
      <c r="K35" s="39" t="n"/>
      <c r="L35" s="39" t="inlineStr">
        <is>
          <t>Pending</t>
        </is>
      </c>
      <c r="M35" s="39" t="n"/>
      <c r="N35" s="39" t="n"/>
      <c r="O35" s="42" t="inlineStr">
        <is>
          <t>Test Data: valid exam
Priority: P0
Type: Functional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36" ht="121.05" customHeight="1">
      <c r="A36" s="39" t="inlineStr">
        <is>
          <t>STF-017</t>
        </is>
      </c>
      <c r="B36" s="40" t="inlineStr">
        <is>
          <t>[Staff] Assign/submit review</t>
        </is>
      </c>
      <c r="C36" s="40" t="inlineStr">
        <is>
          <t>1. Assign sections
2. submit complete/incomplete</t>
        </is>
      </c>
      <c r="D36" s="133" t="inlineStr">
        <is>
          <t>Complete → pending; invalid structure blocked; no partial update</t>
        </is>
      </c>
      <c r="E36" s="133" t="inlineStr">
        <is>
          <t>Draft exam</t>
        </is>
      </c>
      <c r="F36" s="169" t="inlineStr">
        <is>
          <t>Pending</t>
        </is>
      </c>
      <c r="G36" s="170" t="n">
        <v>46229</v>
      </c>
      <c r="H36" s="39" t="inlineStr">
        <is>
          <t>Codex QA</t>
        </is>
      </c>
      <c r="I36" s="39" t="inlineStr">
        <is>
          <t>Pending</t>
        </is>
      </c>
      <c r="J36" s="39" t="n"/>
      <c r="K36" s="39" t="n"/>
      <c r="L36" s="39" t="inlineStr">
        <is>
          <t>Pending</t>
        </is>
      </c>
      <c r="M36" s="39" t="n"/>
      <c r="N36" s="39" t="n"/>
      <c r="O36" s="42" t="inlineStr">
        <is>
          <t>Test Data: assignment set
Priority: P0
Type: Workflow
ROUND 1 ACTUAL RESULT (26 Jul 2026): PARTIALLY EXECUTED — StaffExamServiceSubmitReviewTest passed rejection of an empty exam; valid complete submission and atomic assignment remain.</t>
        </is>
      </c>
    </row>
    <row r="37" ht="22" customHeight="1">
      <c r="A37" s="157" t="inlineStr">
        <is>
          <t>Scenario: Review Feedback</t>
        </is>
      </c>
      <c r="B37" s="158" t="n"/>
      <c r="C37" s="159" t="n"/>
      <c r="D37" s="159" t="n"/>
      <c r="E37" s="159" t="n"/>
      <c r="F37" s="159" t="n"/>
      <c r="G37" s="159" t="n"/>
      <c r="H37" s="159" t="n"/>
      <c r="I37" s="159" t="n"/>
      <c r="J37" s="159" t="n"/>
      <c r="K37" s="159" t="n"/>
      <c r="L37" s="159" t="n"/>
      <c r="M37" s="159" t="n"/>
      <c r="N37" s="159" t="n"/>
      <c r="O37" s="160" t="n"/>
    </row>
    <row r="38" ht="121.05" customHeight="1">
      <c r="A38" s="39" t="inlineStr">
        <is>
          <t>STF-018</t>
        </is>
      </c>
      <c r="B38" s="40" t="inlineStr">
        <is>
          <t>[Staff] View feedback</t>
        </is>
      </c>
      <c r="C38" s="40" t="inlineStr">
        <is>
          <t>Open feedback modal/API</t>
        </is>
      </c>
      <c r="D38" s="133" t="inlineStr">
        <is>
          <t>Latest relevant feedback shown only to creator/allowed Staff</t>
        </is>
      </c>
      <c r="E38" s="133" t="inlineStr">
        <is>
          <t>Content rejected/change requested</t>
        </is>
      </c>
      <c r="F38" s="169" t="inlineStr">
        <is>
          <t>Pending</t>
        </is>
      </c>
      <c r="G38" s="170" t="n">
        <v>46229</v>
      </c>
      <c r="H38" s="39" t="inlineStr">
        <is>
          <t>Codex QA</t>
        </is>
      </c>
      <c r="I38" s="39" t="inlineStr">
        <is>
          <t>Pending</t>
        </is>
      </c>
      <c r="J38" s="39" t="n"/>
      <c r="K38" s="39" t="n"/>
      <c r="L38" s="39" t="inlineStr">
        <is>
          <t>Pending</t>
        </is>
      </c>
      <c r="M38" s="39" t="n"/>
      <c r="N38" s="39" t="n"/>
      <c r="O38" s="42" t="inlineStr">
        <is>
          <t>Test Data: content type/id
Priority: P1
Type: Permission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39" ht="22" customHeight="1">
      <c r="A39" s="157" t="inlineStr">
        <is>
          <t>Scenario: Tickets</t>
        </is>
      </c>
      <c r="B39" s="158" t="n"/>
      <c r="C39" s="159" t="n"/>
      <c r="D39" s="159" t="n"/>
      <c r="E39" s="159" t="n"/>
      <c r="F39" s="159" t="n"/>
      <c r="G39" s="159" t="n"/>
      <c r="H39" s="159" t="n"/>
      <c r="I39" s="159" t="n"/>
      <c r="J39" s="159" t="n"/>
      <c r="K39" s="159" t="n"/>
      <c r="L39" s="159" t="n"/>
      <c r="M39" s="159" t="n"/>
      <c r="N39" s="159" t="n"/>
      <c r="O39" s="160" t="n"/>
    </row>
    <row r="40" ht="121.05" customHeight="1">
      <c r="A40" s="39" t="inlineStr">
        <is>
          <t>STF-019</t>
        </is>
      </c>
      <c r="B40" s="40" t="inlineStr">
        <is>
          <t>[Staff] List/detail/reply/close</t>
        </is>
      </c>
      <c r="C40" s="40" t="inlineStr">
        <is>
          <t>Process ticket</t>
        </is>
      </c>
      <c r="D40" s="133" t="inlineStr">
        <is>
          <t>assigned→in_progress→resolved; notification; audit</t>
        </is>
      </c>
      <c r="E40" s="133" t="inlineStr">
        <is>
          <t>Ticket assigned to Staff</t>
        </is>
      </c>
      <c r="F40" s="169" t="inlineStr">
        <is>
          <t>Pending</t>
        </is>
      </c>
      <c r="G40" s="170" t="n">
        <v>46229</v>
      </c>
      <c r="H40" s="39" t="inlineStr">
        <is>
          <t>Codex QA</t>
        </is>
      </c>
      <c r="I40" s="39" t="inlineStr">
        <is>
          <t>Pending</t>
        </is>
      </c>
      <c r="J40" s="39" t="n"/>
      <c r="K40" s="39" t="n"/>
      <c r="L40" s="39" t="inlineStr">
        <is>
          <t>Pending</t>
        </is>
      </c>
      <c r="M40" s="39" t="n"/>
      <c r="N40" s="39" t="n"/>
      <c r="O40" s="42" t="inlineStr">
        <is>
          <t>Test Data: reply/attachment
Priority: P0
Type: Workflow
ROUND 1 ACTUAL RESULT (26 Jul 2026): PARTIALLY EXECUTED — SupportTicketServiceTest passed assignee/manager reply and lifecycle rules; full Staff UI, attachment, notification, and audit checks remain.</t>
        </is>
      </c>
    </row>
    <row r="41" ht="121.05" customHeight="1">
      <c r="A41" s="39" t="inlineStr">
        <is>
          <t>STF-020</t>
        </is>
      </c>
      <c r="B41" s="40" t="inlineStr">
        <is>
          <t>[Staff] Unauthorized ticket</t>
        </is>
      </c>
      <c r="C41" s="40" t="inlineStr">
        <is>
          <t>Direct detail/reply/close</t>
        </is>
      </c>
      <c r="D41" s="133" t="inlineStr">
        <is>
          <t>Staff thường bị 403; Manager exception tested separately</t>
        </is>
      </c>
      <c r="E41" s="133" t="inlineStr">
        <is>
          <t>Ticket assigned other Staff</t>
        </is>
      </c>
      <c r="F41" s="169" t="inlineStr">
        <is>
          <t>Pending</t>
        </is>
      </c>
      <c r="G41" s="170" t="n">
        <v>46229</v>
      </c>
      <c r="H41" s="39" t="inlineStr">
        <is>
          <t>Codex QA</t>
        </is>
      </c>
      <c r="I41" s="39" t="inlineStr">
        <is>
          <t>Pending</t>
        </is>
      </c>
      <c r="J41" s="39" t="n"/>
      <c r="K41" s="39" t="n"/>
      <c r="L41" s="39" t="inlineStr">
        <is>
          <t>Pending</t>
        </is>
      </c>
      <c r="M41" s="39" t="n"/>
      <c r="N41" s="39" t="n"/>
      <c r="O41" s="42" t="inlineStr">
        <is>
          <t>Test Data: ticket ID
Priority: P0
Type: Permission
ROUND 1 ACTUAL RESULT (26 Jul 2026): PARTIALLY EXECUTED — SupportTicketServiceTest passed unauthorized Staff reply rejection; direct detail/close API and UI checks remain.</t>
        </is>
      </c>
    </row>
    <row r="42" ht="22" customHeight="1">
      <c r="A42" s="157" t="inlineStr">
        <is>
          <t>Scenario: Broadcast</t>
        </is>
      </c>
      <c r="B42" s="158" t="n"/>
      <c r="C42" s="159" t="n"/>
      <c r="D42" s="159" t="n"/>
      <c r="E42" s="159" t="n"/>
      <c r="F42" s="159" t="n"/>
      <c r="G42" s="159" t="n"/>
      <c r="H42" s="159" t="n"/>
      <c r="I42" s="159" t="n"/>
      <c r="J42" s="159" t="n"/>
      <c r="K42" s="159" t="n"/>
      <c r="L42" s="159" t="n"/>
      <c r="M42" s="159" t="n"/>
      <c r="N42" s="159" t="n"/>
      <c r="O42" s="160" t="n"/>
    </row>
    <row r="43" ht="121.05" customHeight="1">
      <c r="A43" s="39" t="inlineStr">
        <is>
          <t>STF-021</t>
        </is>
      </c>
      <c r="B43" s="40" t="inlineStr">
        <is>
          <t>[Staff] Send/schedule</t>
        </is>
      </c>
      <c r="C43" s="40" t="inlineStr">
        <is>
          <t>1. Send now/by level/channel
2. schedule future</t>
        </is>
      </c>
      <c r="D43" s="133" t="inlineStr">
        <is>
          <t>Job accepted; notifications generated/delivered; UI confirmation</t>
        </is>
      </c>
      <c r="E43" s="133" t="inlineStr">
        <is>
          <t>Staff allowed</t>
        </is>
      </c>
      <c r="F43" s="169" t="inlineStr">
        <is>
          <t>Pending</t>
        </is>
      </c>
      <c r="G43" s="170" t="n">
        <v>46229</v>
      </c>
      <c r="H43" s="39" t="inlineStr">
        <is>
          <t>Codex QA</t>
        </is>
      </c>
      <c r="I43" s="39" t="inlineStr">
        <is>
          <t>Pending</t>
        </is>
      </c>
      <c r="J43" s="39" t="n"/>
      <c r="K43" s="39" t="n"/>
      <c r="L43" s="39" t="inlineStr">
        <is>
          <t>Pending</t>
        </is>
      </c>
      <c r="M43" s="39" t="n"/>
      <c r="N43" s="39" t="n"/>
      <c r="O43" s="42" t="inlineStr">
        <is>
          <t>Test Data: valid payload
Priority: P1
Type: Integration
ROUND 1 ACTUAL RESULT (26 Jul 2026): PARTIALLY EXECUTED — NotificationDispatcherTest passed broadcast persistence and email dispatch behavior; scheduling and UI confirmation remain.</t>
        </is>
      </c>
    </row>
    <row r="44" ht="121.05" customHeight="1">
      <c r="A44" s="39" t="inlineStr">
        <is>
          <t>STF-022</t>
        </is>
      </c>
      <c r="B44" s="40" t="inlineStr">
        <is>
          <t>[Staff] Invalid/security</t>
        </is>
      </c>
      <c r="C44" s="40" t="inlineStr">
        <is>
          <t>1. Empty/long title
2. past schedule
3. invalid channel/level
4. XSS</t>
        </is>
      </c>
      <c r="D44" s="133" t="inlineStr">
        <is>
          <t>400; no job; stored/rendered content safe</t>
        </is>
      </c>
      <c r="E44" s="133" t="inlineStr">
        <is>
          <t>None</t>
        </is>
      </c>
      <c r="F44" s="169" t="inlineStr">
        <is>
          <t>Pending</t>
        </is>
      </c>
      <c r="G44" s="170" t="n">
        <v>46229</v>
      </c>
      <c r="H44" s="39" t="inlineStr">
        <is>
          <t>Codex QA</t>
        </is>
      </c>
      <c r="I44" s="39" t="inlineStr">
        <is>
          <t>Pending</t>
        </is>
      </c>
      <c r="J44" s="39" t="n"/>
      <c r="K44" s="39" t="n"/>
      <c r="L44" s="39" t="inlineStr">
        <is>
          <t>Pending</t>
        </is>
      </c>
      <c r="M44" s="39" t="n"/>
      <c r="N44" s="39" t="n"/>
      <c r="O44" s="42" t="inlineStr">
        <is>
          <t>Test Data: invalid set
Priority: P1
Type: Negative, Security
ROUND 1 ACTUAL RESULT (26 Jul 2026): PARTIALLY EXECUTED — NotificationDispatcherTest passed delivery failure handling; payload validation, XSS, channel, level, and scheduling cases remain.</t>
        </is>
      </c>
    </row>
    <row r="45" ht="22" customHeight="1">
      <c r="A45" s="157" t="inlineStr">
        <is>
          <t>Scenario: Grading</t>
        </is>
      </c>
      <c r="B45" s="158" t="n"/>
      <c r="C45" s="159" t="n"/>
      <c r="D45" s="159" t="n"/>
      <c r="E45" s="159" t="n"/>
      <c r="F45" s="159" t="n"/>
      <c r="G45" s="159" t="n"/>
      <c r="H45" s="159" t="n"/>
      <c r="I45" s="159" t="n"/>
      <c r="J45" s="159" t="n"/>
      <c r="K45" s="159" t="n"/>
      <c r="L45" s="159" t="n"/>
      <c r="M45" s="159" t="n"/>
      <c r="N45" s="159" t="n"/>
      <c r="O45" s="160" t="n"/>
    </row>
    <row r="46" ht="121.05" customHeight="1">
      <c r="A46" s="39" t="inlineStr">
        <is>
          <t>STF-023</t>
        </is>
      </c>
      <c r="B46" s="40" t="inlineStr">
        <is>
          <t>[Staff] List/detail</t>
        </is>
      </c>
      <c r="C46" s="40" t="inlineStr">
        <is>
          <t>1. Filter pending/graded
2. open detail/audio</t>
        </is>
      </c>
      <c r="D46" s="133" t="inlineStr">
        <is>
          <t>Data correct; only speaking filter; audio authorized</t>
        </is>
      </c>
      <c r="E46" s="133" t="inlineStr">
        <is>
          <t>Speaking submissions exist</t>
        </is>
      </c>
      <c r="F46" s="169" t="inlineStr">
        <is>
          <t>Pending</t>
        </is>
      </c>
      <c r="G46" s="170" t="n">
        <v>46229</v>
      </c>
      <c r="H46" s="39" t="inlineStr">
        <is>
          <t>Codex QA</t>
        </is>
      </c>
      <c r="I46" s="39" t="inlineStr">
        <is>
          <t>Pending</t>
        </is>
      </c>
      <c r="J46" s="39" t="n"/>
      <c r="K46" s="39" t="n"/>
      <c r="L46" s="39" t="inlineStr">
        <is>
          <t>Pending</t>
        </is>
      </c>
      <c r="M46" s="39" t="n"/>
      <c r="N46" s="39" t="n"/>
      <c r="O46" s="42" t="inlineStr">
        <is>
          <t>Test Data: submissions
Priority: P0
Type: Functional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47" ht="121.05" customHeight="1">
      <c r="A47" s="39" t="inlineStr">
        <is>
          <t>STF-024</t>
        </is>
      </c>
      <c r="B47" s="40" t="inlineStr">
        <is>
          <t>[Staff] Grade/override</t>
        </is>
      </c>
      <c r="C47" s="40" t="inlineStr">
        <is>
          <t>1. Grade min/max
2. regrade/concurrent grade</t>
        </is>
      </c>
      <c r="D47" s="133" t="inlineStr">
        <is>
          <t>Range enforced; valid manual score/feedback persisted; audit/notification; conflict handled</t>
        </is>
      </c>
      <c r="E47" s="133" t="inlineStr">
        <is>
          <t>Pending/AI-graded submission</t>
        </is>
      </c>
      <c r="F47" s="169" t="inlineStr">
        <is>
          <t>Pending</t>
        </is>
      </c>
      <c r="G47" s="170" t="n">
        <v>46229</v>
      </c>
      <c r="H47" s="39" t="inlineStr">
        <is>
          <t>Codex QA</t>
        </is>
      </c>
      <c r="I47" s="39" t="inlineStr">
        <is>
          <t>Pending</t>
        </is>
      </c>
      <c r="J47" s="39" t="n"/>
      <c r="K47" s="39" t="n"/>
      <c r="L47" s="39" t="inlineStr">
        <is>
          <t>Pending</t>
        </is>
      </c>
      <c r="M47" s="39" t="n"/>
      <c r="N47" s="39" t="n"/>
      <c r="O47" s="42" t="inlineStr">
        <is>
          <t>Test Data: -1,0,10,11
Priority: P0
Type: Boundary, Concurrent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48" ht="22" customHeight="1">
      <c r="A48" s="157" t="inlineStr">
        <is>
          <t>Scenario: UI</t>
        </is>
      </c>
      <c r="B48" s="158" t="n"/>
      <c r="C48" s="159" t="n"/>
      <c r="D48" s="159" t="n"/>
      <c r="E48" s="159" t="n"/>
      <c r="F48" s="159" t="n"/>
      <c r="G48" s="159" t="n"/>
      <c r="H48" s="159" t="n"/>
      <c r="I48" s="159" t="n"/>
      <c r="J48" s="159" t="n"/>
      <c r="K48" s="159" t="n"/>
      <c r="L48" s="159" t="n"/>
      <c r="M48" s="159" t="n"/>
      <c r="N48" s="159" t="n"/>
      <c r="O48" s="160" t="n"/>
    </row>
    <row r="49" ht="121.05" customHeight="1">
      <c r="A49" s="39" t="inlineStr">
        <is>
          <t>STF-025</t>
        </is>
      </c>
      <c r="B49" s="40" t="inlineStr">
        <is>
          <t>[Staff] Menus/buttons/states</t>
        </is>
      </c>
      <c r="C49" s="40" t="inlineStr">
        <is>
          <t>1. Traverse Staff pages/actions
2. error/empty/loading</t>
        </is>
      </c>
      <c r="D49" s="133" t="inlineStr">
        <is>
          <t>Only Staff menu; Manager/Admin hidden; buttons follow status/ownership</t>
        </is>
      </c>
      <c r="E49" s="133" t="inlineStr">
        <is>
          <t>Staff logged in</t>
        </is>
      </c>
      <c r="F49" s="169" t="inlineStr">
        <is>
          <t>Pending</t>
        </is>
      </c>
      <c r="G49" s="170" t="n">
        <v>46229</v>
      </c>
      <c r="H49" s="39" t="inlineStr">
        <is>
          <t>Codex QA</t>
        </is>
      </c>
      <c r="I49" s="39" t="inlineStr">
        <is>
          <t>Pending</t>
        </is>
      </c>
      <c r="J49" s="39" t="n"/>
      <c r="K49" s="39" t="n"/>
      <c r="L49" s="39" t="inlineStr">
        <is>
          <t>Pending</t>
        </is>
      </c>
      <c r="M49" s="39" t="n"/>
      <c r="N49" s="39" t="n"/>
      <c r="O49" s="42" t="inlineStr">
        <is>
          <t>Test Data: route inventory
Priority: P1
Type: UI, Regression
ROUND 1 ACTUAL RESULT (26 Jul 2026): PENDING — Frontend unit tests, lint, and production build passed, but no Playwright/Cypress browser runner is configured for this end-to-end UI scenario.</t>
        </is>
      </c>
    </row>
    <row r="50" ht="22" customHeight="1">
      <c r="A50" s="157" t="inlineStr">
        <is>
          <t>Scenario: Gap-check</t>
        </is>
      </c>
      <c r="B50" s="158" t="n"/>
      <c r="C50" s="159" t="n"/>
      <c r="D50" s="159" t="n"/>
      <c r="E50" s="159" t="n"/>
      <c r="F50" s="159" t="n"/>
      <c r="G50" s="159" t="n"/>
      <c r="H50" s="159" t="n"/>
      <c r="I50" s="159" t="n"/>
      <c r="J50" s="159" t="n"/>
      <c r="K50" s="159" t="n"/>
      <c r="L50" s="159" t="n"/>
      <c r="M50" s="159" t="n"/>
      <c r="N50" s="159" t="n"/>
      <c r="O50" s="160" t="n"/>
    </row>
    <row r="51" ht="121.05" customHeight="1">
      <c r="A51" s="39" t="inlineStr">
        <is>
          <t>STF-026</t>
        </is>
      </c>
      <c r="B51" s="40" t="inlineStr">
        <is>
          <t>[Staff] View Quiz Results tồn tại? (UC-32)</t>
        </is>
      </c>
      <c r="C51" s="40" t="inlineStr">
        <is>
          <t>1. Tìm màn hình/API thống kê kết quả theo từng quiz/đề thi (tỷ lệ đúng/sai từng câu, điểm trung bình)
2. nếu không có, xác nhận Staff chỉ xem được qua `/staff/students` (STF-002, theo từng Student)</t>
        </is>
      </c>
      <c r="D51" s="133" t="inlineStr">
        <is>
          <t>Xác nhận hiện KHÔNG có màn hình/API tổng hợp kết quả theo quiz cho Staff; chỉ có xem theo từng Student; ghi nhận gap so với UC-32 và đề xuất bổ sung endpoint `/api/staff/assessments/{id}/results`</t>
        </is>
      </c>
      <c r="E51" s="133" t="inlineStr">
        <is>
          <t>Quiz có nhiều attempt của nhiều Student</t>
        </is>
      </c>
      <c r="F51" s="171" t="inlineStr">
        <is>
          <t>Passed</t>
        </is>
      </c>
      <c r="G51" s="170" t="n">
        <v>46229</v>
      </c>
      <c r="H51" s="39" t="inlineStr">
        <is>
          <t>Codex QA</t>
        </is>
      </c>
      <c r="I51" s="39" t="inlineStr">
        <is>
          <t>Pending</t>
        </is>
      </c>
      <c r="J51" s="39" t="n"/>
      <c r="K51" s="39" t="n"/>
      <c r="L51" s="39" t="inlineStr">
        <is>
          <t>Pending</t>
        </is>
      </c>
      <c r="M51" s="39" t="n"/>
      <c r="N51" s="39" t="n"/>
      <c r="O51" s="42" t="inlineStr">
        <is>
          <t>Test Data: quiz với ≥3 attempt
Priority: P1
Type: Gap, Functional
ROUND 1 ACTUAL RESULT (26 Jul 2026): PASSED — Static route and source inventory confirmed that no quiz-level Staff results analytics endpoint/page is implemented, matching the gap-check expectation.</t>
        </is>
      </c>
    </row>
  </sheetData>
  <autoFilter ref="A10:O51"/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tToWidth="1" firstPageNumber="0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 fitToPage="1"/>
  </sheetPr>
  <dimension ref="A2:R32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ColWidth="9" defaultRowHeight="12.75" outlineLevelRow="1"/>
  <cols>
    <col width="16" customWidth="1" style="1" min="1" max="1"/>
    <col width="34" customWidth="1" style="1" min="2" max="2"/>
    <col width="48" customWidth="1" style="1" min="3" max="3"/>
    <col width="48" customWidth="1" style="1" min="4" max="4"/>
    <col width="32" customWidth="1" style="1" min="5" max="5"/>
    <col width="12" customWidth="1" style="1" min="6" max="6"/>
    <col outlineLevel="1" width="14" customWidth="1" style="1" min="7" max="7"/>
    <col outlineLevel="1" width="18" bestFit="1" customWidth="1" style="1" min="8" max="8"/>
    <col width="12" customWidth="1" style="1" min="9" max="9"/>
    <col outlineLevel="1" width="14" customWidth="1" style="1" min="10" max="10"/>
    <col outlineLevel="1" width="18" bestFit="1" customWidth="1" style="1" min="11" max="11"/>
    <col width="12" customWidth="1" style="1" min="12" max="12"/>
    <col outlineLevel="1" width="14" customWidth="1" style="1" min="13" max="13"/>
    <col outlineLevel="1" width="18" bestFit="1" customWidth="1" style="1" min="14" max="14"/>
    <col width="34" customWidth="1" style="1" min="15" max="15"/>
    <col width="10.1328125" customWidth="1" style="1" min="16" max="16"/>
    <col width="8.1328125" customWidth="1" style="28" min="17" max="17"/>
    <col hidden="1" width="7.6640625" customWidth="1" style="1" min="18" max="18"/>
    <col width="9" customWidth="1" style="1" min="19" max="16384"/>
  </cols>
  <sheetData>
    <row r="1" ht="13.15" customHeight="1" thickBot="1"/>
    <row r="2" ht="15" customFormat="1" customHeight="1" s="30">
      <c r="A2" s="92" t="inlineStr">
        <is>
          <t>Workflow</t>
        </is>
      </c>
      <c r="B2" s="139" t="inlineStr">
        <is>
          <t>Manager</t>
        </is>
      </c>
      <c r="C2" s="153" t="n"/>
      <c r="D2" s="153" t="n"/>
      <c r="E2" s="154" t="n"/>
      <c r="F2" s="82" t="n"/>
      <c r="G2" s="76" t="n"/>
      <c r="H2" s="9" t="n"/>
      <c r="I2" s="82" t="n"/>
      <c r="J2" s="76" t="n"/>
      <c r="K2" s="9" t="n"/>
      <c r="L2" s="82" t="n"/>
      <c r="M2" s="76" t="n"/>
      <c r="N2" s="9" t="n"/>
      <c r="O2" s="9" t="n"/>
      <c r="P2" s="9" t="n"/>
      <c r="Q2" s="29" t="n"/>
      <c r="R2" s="30" t="inlineStr">
        <is>
          <t>Passed</t>
        </is>
      </c>
    </row>
    <row r="3" customFormat="1" s="30">
      <c r="A3" s="93" t="inlineStr">
        <is>
          <t>Test requirement</t>
        </is>
      </c>
      <c r="B3" s="141" t="inlineStr">
        <is>
          <t>StaffManager review, publish, restore and coordination</t>
        </is>
      </c>
      <c r="C3" s="155" t="n"/>
      <c r="D3" s="155" t="n"/>
      <c r="E3" s="156" t="n"/>
      <c r="F3" s="82" t="n"/>
      <c r="G3" s="76" t="n"/>
      <c r="H3" s="9" t="n"/>
      <c r="I3" s="82" t="n"/>
      <c r="J3" s="76" t="n"/>
      <c r="K3" s="9" t="n"/>
      <c r="L3" s="82" t="n"/>
      <c r="M3" s="76" t="n"/>
      <c r="N3" s="9" t="n"/>
      <c r="O3" s="9" t="n"/>
      <c r="P3" s="9" t="n"/>
      <c r="Q3" s="29" t="n"/>
      <c r="R3" s="30" t="inlineStr">
        <is>
          <t>Failed</t>
        </is>
      </c>
    </row>
    <row r="4" ht="18" customFormat="1" customHeight="1" s="30">
      <c r="A4" s="93" t="inlineStr">
        <is>
          <t>Number of TCs</t>
        </is>
      </c>
      <c r="B4" s="141">
        <f>COUNTA(A12:A1000)</f>
        <v/>
      </c>
      <c r="C4" s="155" t="n"/>
      <c r="D4" s="155" t="n"/>
      <c r="E4" s="156" t="n"/>
      <c r="F4" s="82" t="n"/>
      <c r="G4" s="76" t="n"/>
      <c r="H4" s="9" t="n"/>
      <c r="I4" s="82" t="n"/>
      <c r="J4" s="76" t="n"/>
      <c r="K4" s="9" t="n"/>
      <c r="L4" s="82" t="n"/>
      <c r="M4" s="76" t="n"/>
      <c r="N4" s="9" t="n"/>
      <c r="O4" s="9" t="n"/>
      <c r="P4" s="9" t="n"/>
      <c r="Q4" s="29" t="n"/>
      <c r="R4" s="30" t="inlineStr">
        <is>
          <t>Pending</t>
        </is>
      </c>
    </row>
    <row r="5" ht="19.5" customFormat="1" customHeight="1" s="30">
      <c r="A5" s="86" t="inlineStr">
        <is>
          <t>Testing Round</t>
        </is>
      </c>
      <c r="B5" s="84" t="inlineStr">
        <is>
          <t>Passed</t>
        </is>
      </c>
      <c r="C5" s="84" t="inlineStr">
        <is>
          <t>Failed</t>
        </is>
      </c>
      <c r="D5" s="84" t="inlineStr">
        <is>
          <t>Pending</t>
        </is>
      </c>
      <c r="E5" s="87" t="inlineStr">
        <is>
          <t>N/A</t>
        </is>
      </c>
      <c r="F5" s="77" t="n"/>
      <c r="G5" s="77" t="n"/>
      <c r="H5" s="31" t="n"/>
      <c r="I5" s="77" t="n"/>
      <c r="J5" s="77" t="n"/>
      <c r="K5" s="31" t="n"/>
      <c r="L5" s="77" t="n"/>
      <c r="M5" s="77" t="n"/>
      <c r="N5" s="31" t="n"/>
      <c r="O5" s="31" t="n"/>
      <c r="P5" s="31" t="n"/>
      <c r="Q5" s="32" t="n"/>
      <c r="R5" s="30" t="inlineStr">
        <is>
          <t>N/A</t>
        </is>
      </c>
    </row>
    <row r="6" ht="15" customFormat="1" customHeight="1" s="30">
      <c r="A6" s="86" t="inlineStr">
        <is>
          <t>Round 1</t>
        </is>
      </c>
      <c r="B6" s="85">
        <f>COUNTIF($F$12:$F$1000,"Passed")</f>
        <v/>
      </c>
      <c r="C6" s="85">
        <f>COUNTIF($F$12:$F$1000,"Failed")</f>
        <v/>
      </c>
      <c r="D6" s="85">
        <f>COUNTIF($F$12:$F$1000,"Pending")</f>
        <v/>
      </c>
      <c r="E6" s="91">
        <f>COUNTIF($F$12:$F$1000,"N/A")</f>
        <v/>
      </c>
      <c r="F6" s="78" t="n"/>
      <c r="G6" s="78" t="n"/>
      <c r="H6" s="31" t="n"/>
      <c r="I6" s="78" t="n"/>
      <c r="J6" s="78" t="n"/>
      <c r="K6" s="31" t="n"/>
      <c r="L6" s="78" t="n"/>
      <c r="M6" s="78" t="n"/>
      <c r="N6" s="31" t="n"/>
      <c r="O6" s="31" t="n"/>
      <c r="P6" s="31" t="n"/>
      <c r="Q6" s="32" t="n"/>
    </row>
    <row r="7" ht="15" customFormat="1" customHeight="1" s="30">
      <c r="A7" s="86" t="inlineStr">
        <is>
          <t>Round 2</t>
        </is>
      </c>
      <c r="B7" s="85">
        <f>COUNTIF($I$12:$I$1000,"Passed")</f>
        <v/>
      </c>
      <c r="C7" s="85">
        <f>COUNTIF($I$12:$I$1000,"Failed")</f>
        <v/>
      </c>
      <c r="D7" s="85">
        <f>COUNTIF($I$12:$I$1000,"Pending")</f>
        <v/>
      </c>
      <c r="E7" s="91">
        <f>COUNTIF($I$12:$I$1000,"N/A")</f>
        <v/>
      </c>
      <c r="F7" s="78" t="n"/>
      <c r="G7" s="78" t="n"/>
      <c r="H7" s="31" t="n"/>
      <c r="I7" s="78" t="n"/>
      <c r="J7" s="78" t="n"/>
      <c r="K7" s="31" t="n"/>
      <c r="L7" s="78" t="n"/>
      <c r="M7" s="78" t="n"/>
      <c r="N7" s="31" t="n"/>
      <c r="O7" s="31" t="n"/>
      <c r="P7" s="31" t="n"/>
      <c r="Q7" s="32" t="n"/>
    </row>
    <row r="8" ht="15" customFormat="1" customHeight="1" s="30" thickBot="1">
      <c r="A8" s="88" t="inlineStr">
        <is>
          <t>Round 3</t>
        </is>
      </c>
      <c r="B8" s="89">
        <f>COUNTIF($L$12:$L$1000,"Passed")</f>
        <v/>
      </c>
      <c r="C8" s="89">
        <f>COUNTIF($L$12:$L$1000,"Failed")</f>
        <v/>
      </c>
      <c r="D8" s="89">
        <f>COUNTIF($L$12:$L$1000,"Pending")</f>
        <v/>
      </c>
      <c r="E8" s="90">
        <f>COUNTIF($L$12:$L$1000,"N/A")</f>
        <v/>
      </c>
      <c r="F8" s="78" t="n"/>
      <c r="G8" s="78" t="n"/>
      <c r="H8" s="31" t="n"/>
      <c r="I8" s="78" t="n"/>
      <c r="J8" s="78" t="n"/>
      <c r="K8" s="31" t="n"/>
      <c r="L8" s="78" t="n"/>
      <c r="M8" s="78" t="n"/>
      <c r="N8" s="31" t="n"/>
      <c r="O8" s="31" t="n"/>
      <c r="P8" s="31" t="n"/>
      <c r="Q8" s="32" t="n"/>
    </row>
    <row r="9" ht="15" customFormat="1" customHeight="1" s="30">
      <c r="A9" s="31" t="n"/>
      <c r="B9" s="31" t="n"/>
      <c r="C9" s="31" t="n"/>
      <c r="D9" s="31" t="n"/>
      <c r="E9" s="31" t="n"/>
      <c r="F9" s="33" t="n"/>
      <c r="G9" s="31" t="n"/>
      <c r="H9" s="31" t="n"/>
      <c r="I9" s="33" t="n"/>
      <c r="J9" s="31" t="n"/>
      <c r="K9" s="31" t="n"/>
      <c r="L9" s="33" t="n"/>
      <c r="M9" s="31" t="n"/>
      <c r="N9" s="31" t="n"/>
      <c r="O9" s="31" t="n"/>
      <c r="P9" s="31" t="n"/>
      <c r="Q9" s="32" t="n"/>
    </row>
    <row r="10" ht="25.5" customFormat="1" customHeight="1" s="30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 t="n"/>
    </row>
    <row r="11" ht="22" customFormat="1" customHeight="1" s="30">
      <c r="A11" s="157" t="inlineStr">
        <is>
          <t>Scenario: Dashboard</t>
        </is>
      </c>
      <c r="B11" s="158" t="n"/>
      <c r="C11" s="159" t="n"/>
      <c r="D11" s="159" t="n"/>
      <c r="E11" s="159" t="n"/>
      <c r="F11" s="159" t="n"/>
      <c r="G11" s="159" t="n"/>
      <c r="H11" s="159" t="n"/>
      <c r="I11" s="159" t="n"/>
      <c r="J11" s="159" t="n"/>
      <c r="K11" s="159" t="n"/>
      <c r="L11" s="159" t="n"/>
      <c r="M11" s="159" t="n"/>
      <c r="N11" s="159" t="n"/>
      <c r="O11" s="160" t="n"/>
    </row>
    <row r="12" outlineLevel="1" ht="121.05" customFormat="1" customHeight="1" s="44">
      <c r="A12" s="39" t="inlineStr">
        <is>
          <t>MGR-001</t>
        </is>
      </c>
      <c r="B12" s="40" t="inlineStr">
        <is>
          <t>[Manager] Navigation/summary</t>
        </is>
      </c>
      <c r="C12" s="40" t="inlineStr">
        <is>
          <t>1. Mở `/manager`
2. inspect cards/menu</t>
        </is>
      </c>
      <c r="D12" s="133" t="inlineStr">
        <is>
          <t>Manager dashboard loads; Staff capabilities preserved where linked</t>
        </is>
      </c>
      <c r="E12" s="133" t="inlineStr">
        <is>
          <t>Manager logged in</t>
        </is>
      </c>
      <c r="F12" s="169" t="inlineStr">
        <is>
          <t>Pending</t>
        </is>
      </c>
      <c r="G12" s="170" t="n">
        <v>46229</v>
      </c>
      <c r="H12" s="39" t="inlineStr">
        <is>
          <t>Codex QA</t>
        </is>
      </c>
      <c r="I12" s="39" t="inlineStr">
        <is>
          <t>Pending</t>
        </is>
      </c>
      <c r="J12" s="39" t="n"/>
      <c r="K12" s="39" t="n"/>
      <c r="L12" s="39" t="inlineStr">
        <is>
          <t>Pending</t>
        </is>
      </c>
      <c r="M12" s="39" t="n"/>
      <c r="N12" s="39" t="n"/>
      <c r="O12" s="42" t="inlineStr">
        <is>
          <t>Test Data: pending content/tickets
Priority: P1
Type: Smoke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13" outlineLevel="1" ht="22" customHeight="1">
      <c r="A13" s="157" t="inlineStr">
        <is>
          <t>Scenario: Review</t>
        </is>
      </c>
      <c r="B13" s="158" t="n"/>
      <c r="C13" s="159" t="n"/>
      <c r="D13" s="159" t="n"/>
      <c r="E13" s="159" t="n"/>
      <c r="F13" s="159" t="n"/>
      <c r="G13" s="159" t="n"/>
      <c r="H13" s="159" t="n"/>
      <c r="I13" s="159" t="n"/>
      <c r="J13" s="159" t="n"/>
      <c r="K13" s="159" t="n"/>
      <c r="L13" s="159" t="n"/>
      <c r="M13" s="159" t="n"/>
      <c r="N13" s="159" t="n"/>
      <c r="O13" s="160" t="n"/>
    </row>
    <row r="14" outlineLevel="1" ht="121.05" customHeight="1">
      <c r="A14" s="39" t="inlineStr">
        <is>
          <t>MGR-002</t>
        </is>
      </c>
      <c r="B14" s="40" t="inlineStr">
        <is>
          <t>[Manager] Queue/filter/page</t>
        </is>
      </c>
      <c r="C14" s="40" t="inlineStr">
        <is>
          <t>Filter type/level/page</t>
        </is>
      </c>
      <c r="D14" s="133" t="inlineStr">
        <is>
          <t>Queue complete; correct creator/snapshot metadata; no deleted item</t>
        </is>
      </c>
      <c r="E14" s="133" t="inlineStr">
        <is>
          <t>Pending all content types</t>
        </is>
      </c>
      <c r="F14" s="169" t="inlineStr">
        <is>
          <t>Pending</t>
        </is>
      </c>
      <c r="G14" s="170" t="n">
        <v>46229</v>
      </c>
      <c r="H14" s="39" t="inlineStr">
        <is>
          <t>Codex QA</t>
        </is>
      </c>
      <c r="I14" s="39" t="inlineStr">
        <is>
          <t>Pending</t>
        </is>
      </c>
      <c r="J14" s="39" t="n"/>
      <c r="K14" s="39" t="n"/>
      <c r="L14" s="39" t="inlineStr">
        <is>
          <t>Pending</t>
        </is>
      </c>
      <c r="M14" s="39" t="n"/>
      <c r="N14" s="39" t="n"/>
      <c r="O14" s="42" t="inlineStr">
        <is>
          <t>Test Data: lesson/grammar/vocab/kanji/question/assessment
Priority: P0
Type: Functional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15" ht="121.05" customFormat="1" customHeight="1" s="30">
      <c r="A15" s="39" t="inlineStr">
        <is>
          <t>MGR-003</t>
        </is>
      </c>
      <c r="B15" s="40" t="inlineStr">
        <is>
          <t>[Manager] Detail</t>
        </is>
      </c>
      <c r="C15" s="40" t="inlineStr">
        <is>
          <t>Open detail directly/UI</t>
        </is>
      </c>
      <c r="D15" s="133" t="inlineStr">
        <is>
          <t>Correct handler/type; snapshot and creator shown; unknown/type mismatch 404/400</t>
        </is>
      </c>
      <c r="E15" s="133" t="inlineStr">
        <is>
          <t>Pending item</t>
        </is>
      </c>
      <c r="F15" s="169" t="inlineStr">
        <is>
          <t>Pending</t>
        </is>
      </c>
      <c r="G15" s="170" t="n">
        <v>46229</v>
      </c>
      <c r="H15" s="39" t="inlineStr">
        <is>
          <t>Codex QA</t>
        </is>
      </c>
      <c r="I15" s="39" t="inlineStr">
        <is>
          <t>Pending</t>
        </is>
      </c>
      <c r="J15" s="39" t="n"/>
      <c r="K15" s="39" t="n"/>
      <c r="L15" s="39" t="inlineStr">
        <is>
          <t>Pending</t>
        </is>
      </c>
      <c r="M15" s="39" t="n"/>
      <c r="N15" s="39" t="n"/>
      <c r="O15" s="42" t="inlineStr">
        <is>
          <t>Test Data: content IDs
Priority: P0
Type: Functional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16" outlineLevel="1" ht="121.05" customHeight="1">
      <c r="A16" s="39" t="inlineStr">
        <is>
          <t>MGR-004</t>
        </is>
      </c>
      <c r="B16" s="40" t="inlineStr">
        <is>
          <t>[Manager] Approve</t>
        </is>
      </c>
      <c r="C16" s="40" t="inlineStr">
        <is>
          <t>Approve</t>
        </is>
      </c>
      <c r="D16" s="133" t="inlineStr">
        <is>
          <t>pending→published; approver/published_at set; audit row; Student can see</t>
        </is>
      </c>
      <c r="E16" s="133" t="inlineStr">
        <is>
          <t>Other Staff pending content</t>
        </is>
      </c>
      <c r="F16" s="169" t="inlineStr">
        <is>
          <t>Pending</t>
        </is>
      </c>
      <c r="G16" s="170" t="n">
        <v>46229</v>
      </c>
      <c r="H16" s="39" t="inlineStr">
        <is>
          <t>Codex QA</t>
        </is>
      </c>
      <c r="I16" s="39" t="inlineStr">
        <is>
          <t>Pending</t>
        </is>
      </c>
      <c r="J16" s="39" t="n"/>
      <c r="K16" s="39" t="n"/>
      <c r="L16" s="39" t="inlineStr">
        <is>
          <t>Pending</t>
        </is>
      </c>
      <c r="M16" s="39" t="n"/>
      <c r="N16" s="39" t="n"/>
      <c r="O16" s="42" t="inlineStr">
        <is>
          <t>Test Data: valid item
Priority: P0
Type: Workflow, Database
ROUND 1 ACTUAL RESULT (26 Jul 2026): PARTIALLY EXECUTED — AssessmentContentHandlerTest passed publish approval rules for assessments; all content types, audit, and Student visibility remain.</t>
        </is>
      </c>
    </row>
    <row r="17" outlineLevel="1" ht="121.05" customHeight="1">
      <c r="A17" s="39" t="inlineStr">
        <is>
          <t>MGR-005</t>
        </is>
      </c>
      <c r="B17" s="40" t="inlineStr">
        <is>
          <t>[Manager] Reject/request changes</t>
        </is>
      </c>
      <c r="C17" s="40" t="inlineStr">
        <is>
          <t>Reject/change without and with feedback</t>
        </is>
      </c>
      <c r="D17" s="133" t="inlineStr">
        <is>
          <t>Feedback required; valid transition; Staff can read feedback; audit</t>
        </is>
      </c>
      <c r="E17" s="133" t="inlineStr">
        <is>
          <t>Pending content</t>
        </is>
      </c>
      <c r="F17" s="169" t="inlineStr">
        <is>
          <t>Pending</t>
        </is>
      </c>
      <c r="G17" s="170" t="n">
        <v>46229</v>
      </c>
      <c r="H17" s="39" t="inlineStr">
        <is>
          <t>Codex QA</t>
        </is>
      </c>
      <c r="I17" s="39" t="inlineStr">
        <is>
          <t>Pending</t>
        </is>
      </c>
      <c r="J17" s="39" t="n"/>
      <c r="K17" s="39" t="n"/>
      <c r="L17" s="39" t="inlineStr">
        <is>
          <t>Pending</t>
        </is>
      </c>
      <c r="M17" s="39" t="n"/>
      <c r="N17" s="39" t="n"/>
      <c r="O17" s="42" t="inlineStr">
        <is>
          <t>Test Data: empty/valid feedback
Priority: P0
Type: Negative, Workflow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18" ht="121.05" customFormat="1" customHeight="1" s="30">
      <c r="A18" s="39" t="inlineStr">
        <is>
          <t>MGR-006</t>
        </is>
      </c>
      <c r="B18" s="40" t="inlineStr">
        <is>
          <t>[Manager] Self-review prohibition</t>
        </is>
      </c>
      <c r="C18" s="40" t="inlineStr">
        <is>
          <t>Approve/reject own item via UI/API</t>
        </is>
      </c>
      <c r="D18" s="133" t="inlineStr">
        <is>
          <t>403/422; status unchanged; event logged safely</t>
        </is>
      </c>
      <c r="E18" s="133" t="inlineStr">
        <is>
          <t>Manager-created content pending</t>
        </is>
      </c>
      <c r="F18" s="169" t="inlineStr">
        <is>
          <t>Pending</t>
        </is>
      </c>
      <c r="G18" s="170" t="n">
        <v>46229</v>
      </c>
      <c r="H18" s="39" t="inlineStr">
        <is>
          <t>Codex QA</t>
        </is>
      </c>
      <c r="I18" s="39" t="inlineStr">
        <is>
          <t>Pending</t>
        </is>
      </c>
      <c r="J18" s="39" t="n"/>
      <c r="K18" s="39" t="n"/>
      <c r="L18" s="39" t="inlineStr">
        <is>
          <t>Pending</t>
        </is>
      </c>
      <c r="M18" s="39" t="n"/>
      <c r="N18" s="39" t="n"/>
      <c r="O18" s="42" t="inlineStr">
        <is>
          <t>Test Data: own ID
Priority: P0
Type: Permission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19" outlineLevel="1" ht="121.05" customHeight="1">
      <c r="A19" s="39" t="inlineStr">
        <is>
          <t>MGR-007</t>
        </is>
      </c>
      <c r="B19" s="40" t="inlineStr">
        <is>
          <t>[Manager] Concurrent reviewers</t>
        </is>
      </c>
      <c r="C19" s="40" t="inlineStr">
        <is>
          <t>Both approve/reject same version simultaneously</t>
        </is>
      </c>
      <c r="D19" s="133" t="inlineStr">
        <is>
          <t>Exactly one succeeds; other gets conflict/latest state; one final transition</t>
        </is>
      </c>
      <c r="E19" s="133" t="inlineStr">
        <is>
          <t>Two Managers</t>
        </is>
      </c>
      <c r="F19" s="169" t="inlineStr">
        <is>
          <t>Pending</t>
        </is>
      </c>
      <c r="G19" s="170" t="n">
        <v>46229</v>
      </c>
      <c r="H19" s="39" t="inlineStr">
        <is>
          <t>Codex QA</t>
        </is>
      </c>
      <c r="I19" s="39" t="inlineStr">
        <is>
          <t>Pending</t>
        </is>
      </c>
      <c r="J19" s="39" t="n"/>
      <c r="K19" s="39" t="n"/>
      <c r="L19" s="39" t="inlineStr">
        <is>
          <t>Pending</t>
        </is>
      </c>
      <c r="M19" s="39" t="n"/>
      <c r="N19" s="39" t="n"/>
      <c r="O19" s="42" t="inlineStr">
        <is>
          <t>Test Data: same item
Priority: P0
Type: Concurrent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20" ht="22" customHeight="1">
      <c r="A20" s="157" t="inlineStr">
        <is>
          <t>Scenario: Publish</t>
        </is>
      </c>
      <c r="B20" s="158" t="n"/>
      <c r="C20" s="159" t="n"/>
      <c r="D20" s="159" t="n"/>
      <c r="E20" s="159" t="n"/>
      <c r="F20" s="159" t="n"/>
      <c r="G20" s="159" t="n"/>
      <c r="H20" s="159" t="n"/>
      <c r="I20" s="159" t="n"/>
      <c r="J20" s="159" t="n"/>
      <c r="K20" s="159" t="n"/>
      <c r="L20" s="159" t="n"/>
      <c r="M20" s="159" t="n"/>
      <c r="N20" s="159" t="n"/>
      <c r="O20" s="160" t="n"/>
    </row>
    <row r="21" ht="121.05" customHeight="1">
      <c r="A21" s="39" t="inlineStr">
        <is>
          <t>MGR-008</t>
        </is>
      </c>
      <c r="B21" s="40" t="inlineStr">
        <is>
          <t>[Manager] List/detail/filter</t>
        </is>
      </c>
      <c r="C21" s="40" t="inlineStr">
        <is>
          <t>1. Open pipeline
2. filter/detail</t>
        </is>
      </c>
      <c r="D21" s="133" t="inlineStr">
        <is>
          <t>Correct content/state; Staff normal cannot access</t>
        </is>
      </c>
      <c r="E21" s="133" t="inlineStr">
        <is>
          <t>Published/archived items</t>
        </is>
      </c>
      <c r="F21" s="169" t="inlineStr">
        <is>
          <t>Pending</t>
        </is>
      </c>
      <c r="G21" s="170" t="n">
        <v>46229</v>
      </c>
      <c r="H21" s="39" t="inlineStr">
        <is>
          <t>Codex QA</t>
        </is>
      </c>
      <c r="I21" s="39" t="inlineStr">
        <is>
          <t>Pending</t>
        </is>
      </c>
      <c r="J21" s="39" t="n"/>
      <c r="K21" s="39" t="n"/>
      <c r="L21" s="39" t="inlineStr">
        <is>
          <t>Pending</t>
        </is>
      </c>
      <c r="M21" s="39" t="n"/>
      <c r="N21" s="39" t="n"/>
      <c r="O21" s="42" t="inlineStr">
        <is>
          <t>Test Data: type/level
Priority: P0
Type: Functional, Permission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22" ht="121.05" customHeight="1">
      <c r="A22" s="39" t="inlineStr">
        <is>
          <t>MGR-009</t>
        </is>
      </c>
      <c r="B22" s="40" t="inlineStr">
        <is>
          <t>[Manager] State transitions</t>
        </is>
      </c>
      <c r="C22" s="40" t="inlineStr">
        <is>
          <t>Publish, unpublish/archive, restore</t>
        </is>
      </c>
      <c r="D22" s="133" t="inlineStr">
        <is>
          <t>Only allowed transitions; reason/audit stored; Student visibility updates</t>
        </is>
      </c>
      <c r="E22" s="133" t="inlineStr">
        <is>
          <t>Approved/published/archived</t>
        </is>
      </c>
      <c r="F22" s="169" t="inlineStr">
        <is>
          <t>Pending</t>
        </is>
      </c>
      <c r="G22" s="170" t="n">
        <v>46229</v>
      </c>
      <c r="H22" s="39" t="inlineStr">
        <is>
          <t>Codex QA</t>
        </is>
      </c>
      <c r="I22" s="39" t="inlineStr">
        <is>
          <t>Pending</t>
        </is>
      </c>
      <c r="J22" s="39" t="n"/>
      <c r="K22" s="39" t="n"/>
      <c r="L22" s="39" t="inlineStr">
        <is>
          <t>Pending</t>
        </is>
      </c>
      <c r="M22" s="39" t="n"/>
      <c r="N22" s="39" t="n"/>
      <c r="O22" s="42" t="inlineStr">
        <is>
          <t>Test Data: reason boundary
Priority: P0
Type: Workflow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23" ht="121.05" customHeight="1">
      <c r="A23" s="39" t="inlineStr">
        <is>
          <t>MGR-010</t>
        </is>
      </c>
      <c r="B23" s="40" t="inlineStr">
        <is>
          <t>[Manager] Invalid transition</t>
        </is>
      </c>
      <c r="C23" s="40" t="inlineStr">
        <is>
          <t>1. Direct status calls
2. missing reason</t>
        </is>
      </c>
      <c r="D23" s="133" t="inlineStr">
        <is>
          <t>409/422; no state corruption; dependency warning handled</t>
        </is>
      </c>
      <c r="E23" s="133" t="inlineStr">
        <is>
          <t>Draft/deleted/in-use content</t>
        </is>
      </c>
      <c r="F23" s="169" t="inlineStr">
        <is>
          <t>Pending</t>
        </is>
      </c>
      <c r="G23" s="170" t="n">
        <v>46229</v>
      </c>
      <c r="H23" s="39" t="inlineStr">
        <is>
          <t>Codex QA</t>
        </is>
      </c>
      <c r="I23" s="39" t="inlineStr">
        <is>
          <t>Pending</t>
        </is>
      </c>
      <c r="J23" s="39" t="n"/>
      <c r="K23" s="39" t="n"/>
      <c r="L23" s="39" t="inlineStr">
        <is>
          <t>Pending</t>
        </is>
      </c>
      <c r="M23" s="39" t="n"/>
      <c r="N23" s="39" t="n"/>
      <c r="O23" s="42" t="inlineStr">
        <is>
          <t>Test Data: invalid transitions
Priority: P0
Type: Negative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24" ht="22" customHeight="1">
      <c r="A24" s="157" t="inlineStr">
        <is>
          <t>Scenario: Trash</t>
        </is>
      </c>
      <c r="B24" s="158" t="n"/>
      <c r="C24" s="159" t="n"/>
      <c r="D24" s="159" t="n"/>
      <c r="E24" s="159" t="n"/>
      <c r="F24" s="159" t="n"/>
      <c r="G24" s="159" t="n"/>
      <c r="H24" s="159" t="n"/>
      <c r="I24" s="159" t="n"/>
      <c r="J24" s="159" t="n"/>
      <c r="K24" s="159" t="n"/>
      <c r="L24" s="159" t="n"/>
      <c r="M24" s="159" t="n"/>
      <c r="N24" s="159" t="n"/>
      <c r="O24" s="160" t="n"/>
    </row>
    <row r="25" ht="121.05" customHeight="1">
      <c r="A25" s="39" t="inlineStr">
        <is>
          <t>MGR-011</t>
        </is>
      </c>
      <c r="B25" s="40" t="inlineStr">
        <is>
          <t>[Manager] List/restore</t>
        </is>
      </c>
      <c r="C25" s="40" t="inlineStr">
        <is>
          <t>1. Filter type
2. restore once/twice/concurrently</t>
        </is>
      </c>
      <c r="D25" s="133" t="inlineStr">
        <is>
          <t>Restored correctly; repeat idempotent/conflict; audit</t>
        </is>
      </c>
      <c r="E25" s="133" t="inlineStr">
        <is>
          <t>Soft-deleted content</t>
        </is>
      </c>
      <c r="F25" s="169" t="inlineStr">
        <is>
          <t>Pending</t>
        </is>
      </c>
      <c r="G25" s="170" t="n">
        <v>46229</v>
      </c>
      <c r="H25" s="39" t="inlineStr">
        <is>
          <t>Codex QA</t>
        </is>
      </c>
      <c r="I25" s="39" t="inlineStr">
        <is>
          <t>Pending</t>
        </is>
      </c>
      <c r="J25" s="39" t="n"/>
      <c r="K25" s="39" t="n"/>
      <c r="L25" s="39" t="inlineStr">
        <is>
          <t>Pending</t>
        </is>
      </c>
      <c r="M25" s="39" t="n"/>
      <c r="N25" s="39" t="n"/>
      <c r="O25" s="42" t="inlineStr">
        <is>
          <t>Test Data: IDs
Priority: P1
Type: Functional, Concurrent
ROUND 1 ACTUAL RESULT (26 Jul 2026): PARTIALLY EXECUTED — ManagerDeletedContentServiceTest and VocabularyTopicService tests passed list/restore authorization and selected transitions; concurrency remains.</t>
        </is>
      </c>
    </row>
    <row r="26" ht="22" customHeight="1">
      <c r="A26" s="157" t="inlineStr">
        <is>
          <t>Scenario: Tickets</t>
        </is>
      </c>
      <c r="B26" s="158" t="n"/>
      <c r="C26" s="159" t="n"/>
      <c r="D26" s="159" t="n"/>
      <c r="E26" s="159" t="n"/>
      <c r="F26" s="159" t="n"/>
      <c r="G26" s="159" t="n"/>
      <c r="H26" s="159" t="n"/>
      <c r="I26" s="159" t="n"/>
      <c r="J26" s="159" t="n"/>
      <c r="K26" s="159" t="n"/>
      <c r="L26" s="159" t="n"/>
      <c r="M26" s="159" t="n"/>
      <c r="N26" s="159" t="n"/>
      <c r="O26" s="160" t="n"/>
    </row>
    <row r="27" ht="121.05" customHeight="1">
      <c r="A27" s="39" t="inlineStr">
        <is>
          <t>MGR-012</t>
        </is>
      </c>
      <c r="B27" s="40" t="inlineStr">
        <is>
          <t>[Manager] Assign</t>
        </is>
      </c>
      <c r="C27" s="40" t="inlineStr">
        <is>
          <t>1. Load assignees
2. assign
3. reassign</t>
        </is>
      </c>
      <c r="D27" s="133" t="inlineStr">
        <is>
          <t>open→assigned; correct assignee; counts refresh; audit/notification</t>
        </is>
      </c>
      <c r="E27" s="133" t="inlineStr">
        <is>
          <t>Open ticket, Staff list</t>
        </is>
      </c>
      <c r="F27" s="169" t="inlineStr">
        <is>
          <t>Pending</t>
        </is>
      </c>
      <c r="G27" s="170" t="n">
        <v>46229</v>
      </c>
      <c r="H27" s="39" t="inlineStr">
        <is>
          <t>Codex QA</t>
        </is>
      </c>
      <c r="I27" s="39" t="inlineStr">
        <is>
          <t>Pending</t>
        </is>
      </c>
      <c r="J27" s="39" t="n"/>
      <c r="K27" s="39" t="n"/>
      <c r="L27" s="39" t="inlineStr">
        <is>
          <t>Pending</t>
        </is>
      </c>
      <c r="M27" s="39" t="n"/>
      <c r="N27" s="39" t="n"/>
      <c r="O27" s="42" t="inlineStr">
        <is>
          <t>Test Data: Staff IDs
Priority: P0
Type: Workflow
ROUND 1 ACTUAL RESULT (26 Jul 2026): PARTIALLY EXECUTED — SupportTicket tests passed assignment and Manager reply behavior; full UI/count/audit/notification verification remains.</t>
        </is>
      </c>
    </row>
    <row r="28" ht="121.05" customHeight="1">
      <c r="A28" s="39" t="inlineStr">
        <is>
          <t>MGR-013</t>
        </is>
      </c>
      <c r="B28" s="40" t="inlineStr">
        <is>
          <t>[Manager] Invalid assign</t>
        </is>
      </c>
      <c r="C28" s="40" t="inlineStr">
        <is>
          <t>Assign</t>
        </is>
      </c>
      <c r="D28" s="133" t="inlineStr">
        <is>
          <t>400/404/409; status unchanged</t>
        </is>
      </c>
      <c r="E28" s="133" t="inlineStr">
        <is>
          <t>Suspended/nonexistent Staff; resolved ticket</t>
        </is>
      </c>
      <c r="F28" s="169" t="inlineStr">
        <is>
          <t>Pending</t>
        </is>
      </c>
      <c r="G28" s="170" t="n">
        <v>46229</v>
      </c>
      <c r="H28" s="39" t="inlineStr">
        <is>
          <t>Codex QA</t>
        </is>
      </c>
      <c r="I28" s="39" t="inlineStr">
        <is>
          <t>Pending</t>
        </is>
      </c>
      <c r="J28" s="39" t="n"/>
      <c r="K28" s="39" t="n"/>
      <c r="L28" s="39" t="inlineStr">
        <is>
          <t>Pending</t>
        </is>
      </c>
      <c r="M28" s="39" t="n"/>
      <c r="N28" s="39" t="n"/>
      <c r="O28" s="42" t="inlineStr">
        <is>
          <t>Test Data: invalid IDs
Priority: P1
Type: Negative
ROUND 1 ACTUAL RESULT (26 Jul 2026): PARTIALLY EXECUTED — SupportTicketAssignTest passed suspended-target rejection and missing-target handling; resolved-ticket handling remains.</t>
        </is>
      </c>
    </row>
    <row r="29" ht="22" customHeight="1">
      <c r="A29" s="157" t="inlineStr">
        <is>
          <t>Scenario: Broadcast</t>
        </is>
      </c>
      <c r="B29" s="158" t="n"/>
      <c r="C29" s="159" t="n"/>
      <c r="D29" s="159" t="n"/>
      <c r="E29" s="159" t="n"/>
      <c r="F29" s="159" t="n"/>
      <c r="G29" s="159" t="n"/>
      <c r="H29" s="159" t="n"/>
      <c r="I29" s="159" t="n"/>
      <c r="J29" s="159" t="n"/>
      <c r="K29" s="159" t="n"/>
      <c r="L29" s="159" t="n"/>
      <c r="M29" s="159" t="n"/>
      <c r="N29" s="159" t="n"/>
      <c r="O29" s="160" t="n"/>
    </row>
    <row r="30" ht="121.05" customHeight="1">
      <c r="A30" s="39" t="inlineStr">
        <is>
          <t>MGR-014</t>
        </is>
      </c>
      <c r="B30" s="40" t="inlineStr">
        <is>
          <t>[Manager] Send all/schedule</t>
        </is>
      </c>
      <c r="C30" s="40" t="inlineStr">
        <is>
          <t>1. Confirm “all”
2. send and schedule</t>
        </is>
      </c>
      <c r="D30" s="133" t="inlineStr">
        <is>
          <t>Confirmation required; accepted job; no duplicate click submission</t>
        </is>
      </c>
      <c r="E30" s="133" t="inlineStr">
        <is>
          <t>Manager logged in</t>
        </is>
      </c>
      <c r="F30" s="169" t="inlineStr">
        <is>
          <t>Pending</t>
        </is>
      </c>
      <c r="G30" s="170" t="n">
        <v>46229</v>
      </c>
      <c r="H30" s="39" t="inlineStr">
        <is>
          <t>Codex QA</t>
        </is>
      </c>
      <c r="I30" s="39" t="inlineStr">
        <is>
          <t>Pending</t>
        </is>
      </c>
      <c r="J30" s="39" t="n"/>
      <c r="K30" s="39" t="n"/>
      <c r="L30" s="39" t="inlineStr">
        <is>
          <t>Pending</t>
        </is>
      </c>
      <c r="M30" s="39" t="n"/>
      <c r="N30" s="39" t="n"/>
      <c r="O30" s="42" t="inlineStr">
        <is>
          <t>Test Data: channels/levels
Priority: P1
Type: UI, Integration
ROUND 1 ACTUAL RESULT (26 Jul 2026): PENDING — Frontend unit tests, lint, and production build passed, but no Playwright/Cypress browser runner is configured for this end-to-end UI scenario.</t>
        </is>
      </c>
    </row>
    <row r="31" ht="22" customHeight="1">
      <c r="A31" s="157" t="inlineStr">
        <is>
          <t>Scenario: UI/Permission</t>
        </is>
      </c>
      <c r="B31" s="158" t="n"/>
      <c r="C31" s="159" t="n"/>
      <c r="D31" s="159" t="n"/>
      <c r="E31" s="159" t="n"/>
      <c r="F31" s="159" t="n"/>
      <c r="G31" s="159" t="n"/>
      <c r="H31" s="159" t="n"/>
      <c r="I31" s="159" t="n"/>
      <c r="J31" s="159" t="n"/>
      <c r="K31" s="159" t="n"/>
      <c r="L31" s="159" t="n"/>
      <c r="M31" s="159" t="n"/>
      <c r="N31" s="159" t="n"/>
      <c r="O31" s="160" t="n"/>
    </row>
    <row r="32" ht="121.05" customHeight="1">
      <c r="A32" s="39" t="inlineStr">
        <is>
          <t>MGR-015</t>
        </is>
      </c>
      <c r="B32" s="40" t="inlineStr">
        <is>
          <t>[Manager] Menus/direct API</t>
        </is>
      </c>
      <c r="C32" s="40" t="inlineStr">
        <is>
          <t>1. Traverse manager menu
2. call Admin APIs
3. hidden actions</t>
        </is>
      </c>
      <c r="D32" s="133" t="inlineStr">
        <is>
          <t>Manager routes work; Admin 403; no Admin menu; Staff normal Manager API denied by service</t>
        </is>
      </c>
      <c r="E32" s="133" t="inlineStr">
        <is>
          <t>Manager logged in</t>
        </is>
      </c>
      <c r="F32" s="169" t="inlineStr">
        <is>
          <t>Pending</t>
        </is>
      </c>
      <c r="G32" s="170" t="n">
        <v>46229</v>
      </c>
      <c r="H32" s="39" t="inlineStr">
        <is>
          <t>Codex QA</t>
        </is>
      </c>
      <c r="I32" s="39" t="inlineStr">
        <is>
          <t>Pending</t>
        </is>
      </c>
      <c r="J32" s="39" t="n"/>
      <c r="K32" s="39" t="n"/>
      <c r="L32" s="39" t="inlineStr">
        <is>
          <t>Pending</t>
        </is>
      </c>
      <c r="M32" s="39" t="n"/>
      <c r="N32" s="39" t="n"/>
      <c r="O32" s="42" t="inlineStr">
        <is>
          <t>Test Data: routes/tokens
Priority: P0
Type: Permission, Regression
ROUND 1 ACTUAL RESULT (26 Jul 2026): PENDING — Frontend unit tests, lint, and production build passed, but no Playwright/Cypress browser runner is configured for this end-to-end UI scenario.</t>
        </is>
      </c>
    </row>
  </sheetData>
  <autoFilter ref="A10:O32"/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tToWidth="1" firstPageNumber="0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2:R35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ColWidth="9" defaultRowHeight="12.75" outlineLevelRow="1"/>
  <cols>
    <col width="16" customWidth="1" style="1" min="1" max="1"/>
    <col width="34" customWidth="1" style="1" min="2" max="2"/>
    <col width="48" customWidth="1" style="1" min="3" max="3"/>
    <col width="48" customWidth="1" style="1" min="4" max="4"/>
    <col width="32" customWidth="1" style="1" min="5" max="5"/>
    <col width="12" customWidth="1" style="1" min="6" max="6"/>
    <col outlineLevel="1" width="14" customWidth="1" style="1" min="7" max="7"/>
    <col outlineLevel="1" width="18" bestFit="1" customWidth="1" style="1" min="8" max="8"/>
    <col width="12" customWidth="1" style="1" min="9" max="9"/>
    <col outlineLevel="1" width="14" customWidth="1" style="1" min="10" max="10"/>
    <col outlineLevel="1" width="18" bestFit="1" customWidth="1" style="1" min="11" max="11"/>
    <col width="12" customWidth="1" style="1" min="12" max="12"/>
    <col outlineLevel="1" width="14" customWidth="1" style="1" min="13" max="13"/>
    <col outlineLevel="1" width="18" bestFit="1" customWidth="1" style="1" min="14" max="14"/>
    <col width="34" customWidth="1" style="1" min="15" max="15"/>
    <col width="10.1328125" customWidth="1" style="1" min="16" max="16"/>
    <col width="8.1328125" customWidth="1" style="28" min="17" max="17"/>
    <col hidden="1" width="7.6640625" customWidth="1" style="1" min="18" max="18"/>
    <col width="9" customWidth="1" style="1" min="19" max="16384"/>
  </cols>
  <sheetData>
    <row r="1" ht="13.15" customHeight="1" thickBot="1"/>
    <row r="2" ht="15" customFormat="1" customHeight="1" s="30">
      <c r="A2" s="92" t="inlineStr">
        <is>
          <t>Workflow</t>
        </is>
      </c>
      <c r="B2" s="139" t="inlineStr">
        <is>
          <t>Admin</t>
        </is>
      </c>
      <c r="C2" s="153" t="n"/>
      <c r="D2" s="153" t="n"/>
      <c r="E2" s="154" t="n"/>
      <c r="F2" s="82" t="n"/>
      <c r="G2" s="76" t="n"/>
      <c r="H2" s="9" t="n"/>
      <c r="I2" s="82" t="n"/>
      <c r="J2" s="76" t="n"/>
      <c r="K2" s="9" t="n"/>
      <c r="L2" s="82" t="n"/>
      <c r="M2" s="76" t="n"/>
      <c r="N2" s="9" t="n"/>
      <c r="O2" s="9" t="n"/>
      <c r="P2" s="9" t="n"/>
      <c r="Q2" s="29" t="n"/>
      <c r="R2" s="30" t="inlineStr">
        <is>
          <t>Passed</t>
        </is>
      </c>
    </row>
    <row r="3" customFormat="1" s="30">
      <c r="A3" s="93" t="inlineStr">
        <is>
          <t>Test requirement</t>
        </is>
      </c>
      <c r="B3" s="141" t="inlineStr">
        <is>
          <t>Admin dashboard, users, settings, audit and notification rules</t>
        </is>
      </c>
      <c r="C3" s="155" t="n"/>
      <c r="D3" s="155" t="n"/>
      <c r="E3" s="156" t="n"/>
      <c r="F3" s="82" t="n"/>
      <c r="G3" s="76" t="n"/>
      <c r="H3" s="9" t="n"/>
      <c r="I3" s="82" t="n"/>
      <c r="J3" s="76" t="n"/>
      <c r="K3" s="9" t="n"/>
      <c r="L3" s="82" t="n"/>
      <c r="M3" s="76" t="n"/>
      <c r="N3" s="9" t="n"/>
      <c r="O3" s="9" t="n"/>
      <c r="P3" s="9" t="n"/>
      <c r="Q3" s="29" t="n"/>
      <c r="R3" s="30" t="inlineStr">
        <is>
          <t>Failed</t>
        </is>
      </c>
    </row>
    <row r="4" ht="18" customFormat="1" customHeight="1" s="30">
      <c r="A4" s="93" t="inlineStr">
        <is>
          <t>Number of TCs</t>
        </is>
      </c>
      <c r="B4" s="141">
        <f>COUNTA(A12:A1000)</f>
        <v/>
      </c>
      <c r="C4" s="155" t="n"/>
      <c r="D4" s="155" t="n"/>
      <c r="E4" s="156" t="n"/>
      <c r="F4" s="82" t="n"/>
      <c r="G4" s="76" t="n"/>
      <c r="H4" s="9" t="n"/>
      <c r="I4" s="82" t="n"/>
      <c r="J4" s="76" t="n"/>
      <c r="K4" s="9" t="n"/>
      <c r="L4" s="82" t="n"/>
      <c r="M4" s="76" t="n"/>
      <c r="N4" s="9" t="n"/>
      <c r="O4" s="9" t="n"/>
      <c r="P4" s="9" t="n"/>
      <c r="Q4" s="29" t="n"/>
      <c r="R4" s="30" t="inlineStr">
        <is>
          <t>Pending</t>
        </is>
      </c>
    </row>
    <row r="5" ht="19.5" customFormat="1" customHeight="1" s="30">
      <c r="A5" s="86" t="inlineStr">
        <is>
          <t>Testing Round</t>
        </is>
      </c>
      <c r="B5" s="84" t="inlineStr">
        <is>
          <t>Passed</t>
        </is>
      </c>
      <c r="C5" s="84" t="inlineStr">
        <is>
          <t>Failed</t>
        </is>
      </c>
      <c r="D5" s="84" t="inlineStr">
        <is>
          <t>Pending</t>
        </is>
      </c>
      <c r="E5" s="87" t="inlineStr">
        <is>
          <t>N/A</t>
        </is>
      </c>
      <c r="F5" s="77" t="n"/>
      <c r="G5" s="77" t="n"/>
      <c r="H5" s="31" t="n"/>
      <c r="I5" s="77" t="n"/>
      <c r="J5" s="77" t="n"/>
      <c r="K5" s="31" t="n"/>
      <c r="L5" s="77" t="n"/>
      <c r="M5" s="77" t="n"/>
      <c r="N5" s="31" t="n"/>
      <c r="O5" s="31" t="n"/>
      <c r="P5" s="31" t="n"/>
      <c r="Q5" s="32" t="n"/>
      <c r="R5" s="30" t="inlineStr">
        <is>
          <t>N/A</t>
        </is>
      </c>
    </row>
    <row r="6" ht="15" customFormat="1" customHeight="1" s="30">
      <c r="A6" s="86" t="inlineStr">
        <is>
          <t>Round 1</t>
        </is>
      </c>
      <c r="B6" s="85">
        <f>COUNTIF($F$12:$F$1000,"Passed")</f>
        <v/>
      </c>
      <c r="C6" s="85">
        <f>COUNTIF($F$12:$F$1000,"Failed")</f>
        <v/>
      </c>
      <c r="D6" s="85">
        <f>COUNTIF($F$12:$F$1000,"Pending")</f>
        <v/>
      </c>
      <c r="E6" s="91">
        <f>COUNTIF($F$12:$F$1000,"N/A")</f>
        <v/>
      </c>
      <c r="F6" s="78" t="n"/>
      <c r="G6" s="78" t="n"/>
      <c r="H6" s="31" t="n"/>
      <c r="I6" s="78" t="n"/>
      <c r="J6" s="78" t="n"/>
      <c r="K6" s="31" t="n"/>
      <c r="L6" s="78" t="n"/>
      <c r="M6" s="78" t="n"/>
      <c r="N6" s="31" t="n"/>
      <c r="O6" s="31" t="n"/>
      <c r="P6" s="31" t="n"/>
      <c r="Q6" s="32" t="n"/>
    </row>
    <row r="7" ht="15" customFormat="1" customHeight="1" s="30">
      <c r="A7" s="86" t="inlineStr">
        <is>
          <t>Round 2</t>
        </is>
      </c>
      <c r="B7" s="85">
        <f>COUNTIF($I$12:$I$1000,"Passed")</f>
        <v/>
      </c>
      <c r="C7" s="85">
        <f>COUNTIF($I$12:$I$1000,"Failed")</f>
        <v/>
      </c>
      <c r="D7" s="85">
        <f>COUNTIF($I$12:$I$1000,"Pending")</f>
        <v/>
      </c>
      <c r="E7" s="91">
        <f>COUNTIF($I$12:$I$1000,"N/A")</f>
        <v/>
      </c>
      <c r="F7" s="78" t="n"/>
      <c r="G7" s="78" t="n"/>
      <c r="H7" s="31" t="n"/>
      <c r="I7" s="78" t="n"/>
      <c r="J7" s="78" t="n"/>
      <c r="K7" s="31" t="n"/>
      <c r="L7" s="78" t="n"/>
      <c r="M7" s="78" t="n"/>
      <c r="N7" s="31" t="n"/>
      <c r="O7" s="31" t="n"/>
      <c r="P7" s="31" t="n"/>
      <c r="Q7" s="32" t="n"/>
    </row>
    <row r="8" ht="15" customFormat="1" customHeight="1" s="30" thickBot="1">
      <c r="A8" s="88" t="inlineStr">
        <is>
          <t>Round 3</t>
        </is>
      </c>
      <c r="B8" s="89">
        <f>COUNTIF($L$12:$L$1000,"Passed")</f>
        <v/>
      </c>
      <c r="C8" s="89">
        <f>COUNTIF($L$12:$L$1000,"Failed")</f>
        <v/>
      </c>
      <c r="D8" s="89">
        <f>COUNTIF($L$12:$L$1000,"Pending")</f>
        <v/>
      </c>
      <c r="E8" s="90">
        <f>COUNTIF($L$12:$L$1000,"N/A")</f>
        <v/>
      </c>
      <c r="F8" s="78" t="n"/>
      <c r="G8" s="78" t="n"/>
      <c r="H8" s="31" t="n"/>
      <c r="I8" s="78" t="n"/>
      <c r="J8" s="78" t="n"/>
      <c r="K8" s="31" t="n"/>
      <c r="L8" s="78" t="n"/>
      <c r="M8" s="78" t="n"/>
      <c r="N8" s="31" t="n"/>
      <c r="O8" s="31" t="n"/>
      <c r="P8" s="31" t="n"/>
      <c r="Q8" s="32" t="n"/>
    </row>
    <row r="9" ht="15" customFormat="1" customHeight="1" s="30">
      <c r="A9" s="31" t="n"/>
      <c r="B9" s="31" t="n"/>
      <c r="C9" s="31" t="n"/>
      <c r="D9" s="31" t="n"/>
      <c r="E9" s="31" t="n"/>
      <c r="F9" s="33" t="n"/>
      <c r="G9" s="31" t="n"/>
      <c r="H9" s="31" t="n"/>
      <c r="I9" s="33" t="n"/>
      <c r="J9" s="31" t="n"/>
      <c r="K9" s="31" t="n"/>
      <c r="L9" s="33" t="n"/>
      <c r="M9" s="31" t="n"/>
      <c r="N9" s="31" t="n"/>
      <c r="O9" s="31" t="n"/>
      <c r="P9" s="31" t="n"/>
      <c r="Q9" s="32" t="n"/>
    </row>
    <row r="10" ht="25.5" customFormat="1" customHeight="1" s="30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 t="n"/>
    </row>
    <row r="11" ht="22" customFormat="1" customHeight="1" s="30">
      <c r="A11" s="157" t="inlineStr">
        <is>
          <t>Scenario: Dashboard</t>
        </is>
      </c>
      <c r="B11" s="158" t="n"/>
      <c r="C11" s="159" t="n"/>
      <c r="D11" s="159" t="n"/>
      <c r="E11" s="159" t="n"/>
      <c r="F11" s="159" t="n"/>
      <c r="G11" s="159" t="n"/>
      <c r="H11" s="159" t="n"/>
      <c r="I11" s="159" t="n"/>
      <c r="J11" s="159" t="n"/>
      <c r="K11" s="159" t="n"/>
      <c r="L11" s="159" t="n"/>
      <c r="M11" s="159" t="n"/>
      <c r="N11" s="159" t="n"/>
      <c r="O11" s="160" t="n"/>
    </row>
    <row r="12" outlineLevel="1" ht="121.05" customFormat="1" customHeight="1" s="44">
      <c r="A12" s="39" t="inlineStr">
        <is>
          <t>ADM-001</t>
        </is>
      </c>
      <c r="B12" s="40" t="inlineStr">
        <is>
          <t>[Admin] KPI</t>
        </is>
      </c>
      <c r="C12" s="40" t="inlineStr">
        <is>
          <t>1. Mở `/admin`
2. compare summary with SQL</t>
        </is>
      </c>
      <c r="D12" s="133" t="inlineStr">
        <is>
          <t>Accurate KPI; no sensitive password/token; error state works</t>
        </is>
      </c>
      <c r="E12" s="133" t="inlineStr">
        <is>
          <t>Admin logged in; seeded DB</t>
        </is>
      </c>
      <c r="F12" s="169" t="inlineStr">
        <is>
          <t>Pending</t>
        </is>
      </c>
      <c r="G12" s="170" t="n">
        <v>46229</v>
      </c>
      <c r="H12" s="39" t="inlineStr">
        <is>
          <t>Codex QA</t>
        </is>
      </c>
      <c r="I12" s="39" t="inlineStr">
        <is>
          <t>Pending</t>
        </is>
      </c>
      <c r="J12" s="39" t="n"/>
      <c r="K12" s="39" t="n"/>
      <c r="L12" s="39" t="inlineStr">
        <is>
          <t>Pending</t>
        </is>
      </c>
      <c r="M12" s="39" t="n"/>
      <c r="N12" s="39" t="n"/>
      <c r="O12" s="42" t="inlineStr">
        <is>
          <t>Test Data: users/attempts/content
Priority: P0
Type: Smoke, Database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13" outlineLevel="1" ht="22" customHeight="1">
      <c r="A13" s="157" t="inlineStr">
        <is>
          <t>Scenario: Audit</t>
        </is>
      </c>
      <c r="B13" s="158" t="n"/>
      <c r="C13" s="159" t="n"/>
      <c r="D13" s="159" t="n"/>
      <c r="E13" s="159" t="n"/>
      <c r="F13" s="159" t="n"/>
      <c r="G13" s="159" t="n"/>
      <c r="H13" s="159" t="n"/>
      <c r="I13" s="159" t="n"/>
      <c r="J13" s="159" t="n"/>
      <c r="K13" s="159" t="n"/>
      <c r="L13" s="159" t="n"/>
      <c r="M13" s="159" t="n"/>
      <c r="N13" s="159" t="n"/>
      <c r="O13" s="160" t="n"/>
    </row>
    <row r="14" outlineLevel="1" ht="121.05" customHeight="1">
      <c r="A14" s="39" t="inlineStr">
        <is>
          <t>ADM-002</t>
        </is>
      </c>
      <c r="B14" s="40" t="inlineStr">
        <is>
          <t>[Admin] List/filter/page</t>
        </is>
      </c>
      <c r="C14" s="40" t="inlineStr">
        <is>
          <t>1. Mở `/admin/reports`
2. filter action/target/page</t>
        </is>
      </c>
      <c r="D14" s="133" t="inlineStr">
        <is>
          <t>UI/API/DB consistent; actor/action/time displayed; no export button</t>
        </is>
      </c>
      <c r="E14" s="133" t="inlineStr">
        <is>
          <t>Audit rows exist</t>
        </is>
      </c>
      <c r="F14" s="169" t="inlineStr">
        <is>
          <t>Pending</t>
        </is>
      </c>
      <c r="G14" s="170" t="n">
        <v>46229</v>
      </c>
      <c r="H14" s="39" t="inlineStr">
        <is>
          <t>Codex QA</t>
        </is>
      </c>
      <c r="I14" s="39" t="inlineStr">
        <is>
          <t>Pending</t>
        </is>
      </c>
      <c r="J14" s="39" t="n"/>
      <c r="K14" s="39" t="n"/>
      <c r="L14" s="39" t="inlineStr">
        <is>
          <t>Pending</t>
        </is>
      </c>
      <c r="M14" s="39" t="n"/>
      <c r="N14" s="39" t="n"/>
      <c r="O14" s="42" t="inlineStr">
        <is>
          <t>Test Data: action set
Priority: P0
Type: Functional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15" ht="22" customFormat="1" customHeight="1" s="30">
      <c r="A15" s="157" t="inlineStr">
        <is>
          <t>Scenario: Users</t>
        </is>
      </c>
      <c r="B15" s="158" t="n"/>
      <c r="C15" s="159" t="n"/>
      <c r="D15" s="159" t="n"/>
      <c r="E15" s="159" t="n"/>
      <c r="F15" s="159" t="n"/>
      <c r="G15" s="159" t="n"/>
      <c r="H15" s="159" t="n"/>
      <c r="I15" s="159" t="n"/>
      <c r="J15" s="159" t="n"/>
      <c r="K15" s="159" t="n"/>
      <c r="L15" s="159" t="n"/>
      <c r="M15" s="159" t="n"/>
      <c r="N15" s="159" t="n"/>
      <c r="O15" s="160" t="n"/>
    </row>
    <row r="16" outlineLevel="1" ht="121.05" customHeight="1">
      <c r="A16" s="39" t="inlineStr">
        <is>
          <t>ADM-003</t>
        </is>
      </c>
      <c r="B16" s="40" t="inlineStr">
        <is>
          <t>[Admin] List/filter/detail</t>
        </is>
      </c>
      <c r="C16" s="40" t="inlineStr">
        <is>
          <t>1. Filter type/status/level/role/search
2. detail</t>
        </is>
      </c>
      <c r="D16" s="133" t="inlineStr">
        <is>
          <t>Pagination/filters correct; deleted handled; secrets hidden</t>
        </is>
      </c>
      <c r="E16" s="133" t="inlineStr">
        <is>
          <t>Mixed users</t>
        </is>
      </c>
      <c r="F16" s="169" t="inlineStr">
        <is>
          <t>Pending</t>
        </is>
      </c>
      <c r="G16" s="170" t="n">
        <v>46229</v>
      </c>
      <c r="H16" s="39" t="inlineStr">
        <is>
          <t>Codex QA</t>
        </is>
      </c>
      <c r="I16" s="39" t="inlineStr">
        <is>
          <t>Pending</t>
        </is>
      </c>
      <c r="J16" s="39" t="n"/>
      <c r="K16" s="39" t="n"/>
      <c r="L16" s="39" t="inlineStr">
        <is>
          <t>Pending</t>
        </is>
      </c>
      <c r="M16" s="39" t="n"/>
      <c r="N16" s="39" t="n"/>
      <c r="O16" s="42" t="inlineStr">
        <is>
          <t>Test Data: query set
Priority: P0
Type: Functional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17" outlineLevel="1" ht="121.05" customHeight="1">
      <c r="A17" s="39" t="inlineStr">
        <is>
          <t>ADM-004</t>
        </is>
      </c>
      <c r="B17" s="40" t="inlineStr">
        <is>
          <t>[Admin] Create Staff</t>
        </is>
      </c>
      <c r="C17" s="40" t="inlineStr">
        <is>
          <t>1. Create Staff/Manager
2. duplicate/invalid email/role</t>
        </is>
      </c>
      <c r="D17" s="133" t="inlineStr">
        <is>
          <t>Correct role/status/temp setup; unique email; audit/email</t>
        </is>
      </c>
      <c r="E17" s="133" t="inlineStr">
        <is>
          <t>Admin logged in</t>
        </is>
      </c>
      <c r="F17" s="169" t="inlineStr">
        <is>
          <t>Pending</t>
        </is>
      </c>
      <c r="G17" s="170" t="n">
        <v>46229</v>
      </c>
      <c r="H17" s="39" t="inlineStr">
        <is>
          <t>Codex QA</t>
        </is>
      </c>
      <c r="I17" s="39" t="inlineStr">
        <is>
          <t>Pending</t>
        </is>
      </c>
      <c r="J17" s="39" t="n"/>
      <c r="K17" s="39" t="n"/>
      <c r="L17" s="39" t="inlineStr">
        <is>
          <t>Pending</t>
        </is>
      </c>
      <c r="M17" s="39" t="n"/>
      <c r="N17" s="39" t="n"/>
      <c r="O17" s="42" t="inlineStr">
        <is>
          <t>Test Data: valid/invalid
Priority: P0
Type: Functional
ROUND 1 ACTUAL RESULT (26 Jul 2026): PARTIALLY EXECUTED — AdminUserServiceTest passed Staff creation, duplicate rejection, and invitation dispatch; full browser and database verification remain.</t>
        </is>
      </c>
    </row>
    <row r="18" ht="121.05" customFormat="1" customHeight="1" s="30">
      <c r="A18" s="39" t="inlineStr">
        <is>
          <t>ADM-005</t>
        </is>
      </c>
      <c r="B18" s="40" t="inlineStr">
        <is>
          <t>[Admin] Update Student/Staff</t>
        </is>
      </c>
      <c r="C18" s="40" t="inlineStr">
        <is>
          <t>1. Edit allowed fields
2. invalid/overlong/XSS</t>
        </is>
      </c>
      <c r="D18" s="133" t="inlineStr">
        <is>
          <t>Only allowed fields update; role not changed by generic update; safe output</t>
        </is>
      </c>
      <c r="E18" s="133" t="inlineStr">
        <is>
          <t>Targets exist</t>
        </is>
      </c>
      <c r="F18" s="169" t="inlineStr">
        <is>
          <t>Pending</t>
        </is>
      </c>
      <c r="G18" s="170" t="n">
        <v>46229</v>
      </c>
      <c r="H18" s="39" t="inlineStr">
        <is>
          <t>Codex QA</t>
        </is>
      </c>
      <c r="I18" s="39" t="inlineStr">
        <is>
          <t>Pending</t>
        </is>
      </c>
      <c r="J18" s="39" t="n"/>
      <c r="K18" s="39" t="n"/>
      <c r="L18" s="39" t="inlineStr">
        <is>
          <t>Pending</t>
        </is>
      </c>
      <c r="M18" s="39" t="n"/>
      <c r="N18" s="39" t="n"/>
      <c r="O18" s="42" t="inlineStr">
        <is>
          <t>Test Data: payload set
Priority: P1
Type: Security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19" outlineLevel="1" ht="121.05" customHeight="1">
      <c r="A19" s="39" t="inlineStr">
        <is>
          <t>ADM-006</t>
        </is>
      </c>
      <c r="B19" s="40" t="inlineStr">
        <is>
          <t>[Admin] Suspend/activate</t>
        </is>
      </c>
      <c r="C19" s="40" t="inlineStr">
        <is>
          <t>1. Suspend reason min/max
2. activate
3. self-target cases</t>
        </is>
      </c>
      <c r="D19" s="133" t="inlineStr">
        <is>
          <t>State transition valid; sessions handled by policy; audit</t>
        </is>
      </c>
      <c r="E19" s="133" t="inlineStr">
        <is>
          <t>Active/suspended target</t>
        </is>
      </c>
      <c r="F19" s="169" t="inlineStr">
        <is>
          <t>Pending</t>
        </is>
      </c>
      <c r="G19" s="170" t="n">
        <v>46229</v>
      </c>
      <c r="H19" s="39" t="inlineStr">
        <is>
          <t>Codex QA</t>
        </is>
      </c>
      <c r="I19" s="39" t="inlineStr">
        <is>
          <t>Pending</t>
        </is>
      </c>
      <c r="J19" s="39" t="n"/>
      <c r="K19" s="39" t="n"/>
      <c r="L19" s="39" t="inlineStr">
        <is>
          <t>Pending</t>
        </is>
      </c>
      <c r="M19" s="39" t="n"/>
      <c r="N19" s="39" t="n"/>
      <c r="O19" s="42" t="inlineStr">
        <is>
          <t>Test Data: boundary reason
Priority: P0
Type: Workflow
ROUND 1 ACTUAL RESULT (26 Jul 2026): PARTIALLY EXECUTED — AdminUserServiceTest passed suspend/activate state rules; UI refresh, audit, and concurrent changes remain.</t>
        </is>
      </c>
    </row>
    <row r="20" ht="121.05" customHeight="1">
      <c r="A20" s="39" t="inlineStr">
        <is>
          <t>ADM-007</t>
        </is>
      </c>
      <c r="B20" s="40" t="inlineStr">
        <is>
          <t>[Admin] Reset password</t>
        </is>
      </c>
      <c r="C20" s="40" t="inlineStr">
        <is>
          <t>1. Reset Student
2. inspect response/email</t>
        </is>
      </c>
      <c r="D20" s="133" t="inlineStr">
        <is>
          <t>No plaintext persisted/logged; secure reset flow; audit</t>
        </is>
      </c>
      <c r="E20" s="133" t="inlineStr">
        <is>
          <t>Target exists</t>
        </is>
      </c>
      <c r="F20" s="169" t="inlineStr">
        <is>
          <t>Pending</t>
        </is>
      </c>
      <c r="G20" s="170" t="n">
        <v>46229</v>
      </c>
      <c r="H20" s="39" t="inlineStr">
        <is>
          <t>Codex QA</t>
        </is>
      </c>
      <c r="I20" s="39" t="inlineStr">
        <is>
          <t>Pending</t>
        </is>
      </c>
      <c r="J20" s="39" t="n"/>
      <c r="K20" s="39" t="n"/>
      <c r="L20" s="39" t="inlineStr">
        <is>
          <t>Pending</t>
        </is>
      </c>
      <c r="M20" s="39" t="n"/>
      <c r="N20" s="39" t="n"/>
      <c r="O20" s="42" t="inlineStr">
        <is>
          <t>Test Data: user ID
Priority: P0
Type: Security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21" ht="22" customHeight="1">
      <c r="A21" s="157" t="inlineStr">
        <is>
          <t>Scenario: Staff Reset</t>
        </is>
      </c>
      <c r="B21" s="158" t="n"/>
      <c r="C21" s="159" t="n"/>
      <c r="D21" s="159" t="n"/>
      <c r="E21" s="159" t="n"/>
      <c r="F21" s="159" t="n"/>
      <c r="G21" s="159" t="n"/>
      <c r="H21" s="159" t="n"/>
      <c r="I21" s="159" t="n"/>
      <c r="J21" s="159" t="n"/>
      <c r="K21" s="159" t="n"/>
      <c r="L21" s="159" t="n"/>
      <c r="M21" s="159" t="n"/>
      <c r="N21" s="159" t="n"/>
      <c r="O21" s="160" t="n"/>
    </row>
    <row r="22" ht="121.05" customHeight="1">
      <c r="A22" s="39" t="inlineStr">
        <is>
          <t>ADM-008</t>
        </is>
      </c>
      <c r="B22" s="40" t="inlineStr">
        <is>
          <t>[Admin] Request lifecycle</t>
        </is>
      </c>
      <c r="C22" s="40" t="inlineStr">
        <is>
          <t>1. List
2. issue temp password
3. repeat/expired</t>
        </is>
      </c>
      <c r="D22" s="133" t="inlineStr">
        <is>
          <t>Completed once; Staff must change password; audit/email</t>
        </is>
      </c>
      <c r="E22" s="133" t="inlineStr">
        <is>
          <t>Pending Staff request</t>
        </is>
      </c>
      <c r="F22" s="169" t="inlineStr">
        <is>
          <t>Pending</t>
        </is>
      </c>
      <c r="G22" s="170" t="n">
        <v>46229</v>
      </c>
      <c r="H22" s="39" t="inlineStr">
        <is>
          <t>Codex QA</t>
        </is>
      </c>
      <c r="I22" s="39" t="inlineStr">
        <is>
          <t>Pending</t>
        </is>
      </c>
      <c r="J22" s="39" t="n"/>
      <c r="K22" s="39" t="n"/>
      <c r="L22" s="39" t="inlineStr">
        <is>
          <t>Pending</t>
        </is>
      </c>
      <c r="M22" s="39" t="n"/>
      <c r="N22" s="39" t="n"/>
      <c r="O22" s="42" t="inlineStr">
        <is>
          <t>Test Data: request IDs
Priority: P0
Type: Workflow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23" ht="22" customHeight="1">
      <c r="A23" s="157" t="inlineStr">
        <is>
          <t>Scenario: Users</t>
        </is>
      </c>
      <c r="B23" s="158" t="n"/>
      <c r="C23" s="159" t="n"/>
      <c r="D23" s="159" t="n"/>
      <c r="E23" s="159" t="n"/>
      <c r="F23" s="159" t="n"/>
      <c r="G23" s="159" t="n"/>
      <c r="H23" s="159" t="n"/>
      <c r="I23" s="159" t="n"/>
      <c r="J23" s="159" t="n"/>
      <c r="K23" s="159" t="n"/>
      <c r="L23" s="159" t="n"/>
      <c r="M23" s="159" t="n"/>
      <c r="N23" s="159" t="n"/>
      <c r="O23" s="160" t="n"/>
    </row>
    <row r="24" ht="121.05" customHeight="1">
      <c r="A24" s="39" t="inlineStr">
        <is>
          <t>ADM-009</t>
        </is>
      </c>
      <c r="B24" s="40" t="inlineStr">
        <is>
          <t>[Admin] Soft delete/restore</t>
        </is>
      </c>
      <c r="C24" s="40" t="inlineStr">
        <is>
          <t>1. Delete
2. login/direct API
3. restore</t>
        </is>
      </c>
      <c r="D24" s="133" t="inlineStr">
        <is>
          <t>status deleted; access blocked; related data retained; restore works; audit</t>
        </is>
      </c>
      <c r="E24" s="133" t="inlineStr">
        <is>
          <t>Target exists</t>
        </is>
      </c>
      <c r="F24" s="169" t="inlineStr">
        <is>
          <t>Pending</t>
        </is>
      </c>
      <c r="G24" s="170" t="n">
        <v>46229</v>
      </c>
      <c r="H24" s="39" t="inlineStr">
        <is>
          <t>Codex QA</t>
        </is>
      </c>
      <c r="I24" s="39" t="inlineStr">
        <is>
          <t>Pending</t>
        </is>
      </c>
      <c r="J24" s="39" t="n"/>
      <c r="K24" s="39" t="n"/>
      <c r="L24" s="39" t="inlineStr">
        <is>
          <t>Pending</t>
        </is>
      </c>
      <c r="M24" s="39" t="n"/>
      <c r="N24" s="39" t="n"/>
      <c r="O24" s="42" t="inlineStr">
        <is>
          <t>Test Data: Student/Staff
Priority: P0
Type: Functional, Database
ROUND 1 ACTUAL RESULT (26 Jul 2026): PARTIALLY EXECUTED — AdminUserServiceTest passed soft delete/restore and invalid transition rules; full UI and audit verification remain.</t>
        </is>
      </c>
    </row>
    <row r="25" ht="121.05" customHeight="1">
      <c r="A25" s="39" t="inlineStr">
        <is>
          <t>ADM-010</t>
        </is>
      </c>
      <c r="B25" s="40" t="inlineStr">
        <is>
          <t>[Admin] Change Staff role</t>
        </is>
      </c>
      <c r="C25" s="40" t="inlineStr">
        <is>
          <t>1. Promote/demote
2. concurrent changes
3. invalid role</t>
        </is>
      </c>
      <c r="D25" s="133" t="inlineStr">
        <is>
          <t>staff_role updated only valid values; permissions change after new auth; audit</t>
        </is>
      </c>
      <c r="E25" s="133" t="inlineStr">
        <is>
          <t>Staff/Manager target</t>
        </is>
      </c>
      <c r="F25" s="169" t="inlineStr">
        <is>
          <t>Pending</t>
        </is>
      </c>
      <c r="G25" s="170" t="n">
        <v>46229</v>
      </c>
      <c r="H25" s="39" t="inlineStr">
        <is>
          <t>Codex QA</t>
        </is>
      </c>
      <c r="I25" s="39" t="inlineStr">
        <is>
          <t>Pending</t>
        </is>
      </c>
      <c r="J25" s="39" t="n"/>
      <c r="K25" s="39" t="n"/>
      <c r="L25" s="39" t="inlineStr">
        <is>
          <t>Pending</t>
        </is>
      </c>
      <c r="M25" s="39" t="n"/>
      <c r="N25" s="39" t="n"/>
      <c r="O25" s="42" t="inlineStr">
        <is>
          <t>Test Data: roles
Priority: P0
Type: Permission, Concurrent
ROUND 1 ACTUAL RESULT (26 Jul 2026): PARTIALLY EXECUTED — AdminUserServiceChangeRoleTest passed suspended-Staff rejection; valid role changes and complete audit/UI coverage remain.</t>
        </is>
      </c>
    </row>
    <row r="26" ht="22" customHeight="1">
      <c r="A26" s="157" t="inlineStr">
        <is>
          <t>Scenario: Settings</t>
        </is>
      </c>
      <c r="B26" s="158" t="n"/>
      <c r="C26" s="159" t="n"/>
      <c r="D26" s="159" t="n"/>
      <c r="E26" s="159" t="n"/>
      <c r="F26" s="159" t="n"/>
      <c r="G26" s="159" t="n"/>
      <c r="H26" s="159" t="n"/>
      <c r="I26" s="159" t="n"/>
      <c r="J26" s="159" t="n"/>
      <c r="K26" s="159" t="n"/>
      <c r="L26" s="159" t="n"/>
      <c r="M26" s="159" t="n"/>
      <c r="N26" s="159" t="n"/>
      <c r="O26" s="160" t="n"/>
    </row>
    <row r="27" ht="121.05" customHeight="1">
      <c r="A27" s="39" t="inlineStr">
        <is>
          <t>ADM-011</t>
        </is>
      </c>
      <c r="B27" s="40" t="inlineStr">
        <is>
          <t>[Admin] Read group</t>
        </is>
      </c>
      <c r="C27" s="40" t="inlineStr">
        <is>
          <t>1. Open settings
2. fetch allowed/unknown group</t>
        </is>
      </c>
      <c r="D27" s="133" t="inlineStr">
        <is>
          <t>Editable metadata correct; unknown group handled; secret values masked if applicable</t>
        </is>
      </c>
      <c r="E27" s="133" t="inlineStr">
        <is>
          <t>Settings seeded</t>
        </is>
      </c>
      <c r="F27" s="169" t="inlineStr">
        <is>
          <t>Pending</t>
        </is>
      </c>
      <c r="G27" s="170" t="n">
        <v>46229</v>
      </c>
      <c r="H27" s="39" t="inlineStr">
        <is>
          <t>Codex QA</t>
        </is>
      </c>
      <c r="I27" s="39" t="inlineStr">
        <is>
          <t>Pending</t>
        </is>
      </c>
      <c r="J27" s="39" t="n"/>
      <c r="K27" s="39" t="n"/>
      <c r="L27" s="39" t="inlineStr">
        <is>
          <t>Pending</t>
        </is>
      </c>
      <c r="M27" s="39" t="n"/>
      <c r="N27" s="39" t="n"/>
      <c r="O27" s="42" t="inlineStr">
        <is>
          <t>Test Data: system/email/...
Priority: P1
Type: Functional
ROUND 1 ACTUAL RESULT (26 Jul 2026): PENDING — The relevant external provider/file-delivery workflow was not available as a complete System Test environment. Mocked automated checks passed where present.</t>
        </is>
      </c>
    </row>
    <row r="28" ht="121.05" customHeight="1">
      <c r="A28" s="39" t="inlineStr">
        <is>
          <t>ADM-012</t>
        </is>
      </c>
      <c r="B28" s="40" t="inlineStr">
        <is>
          <t>[Admin] Update one/batch</t>
        </is>
      </c>
      <c r="C28" s="40" t="inlineStr">
        <is>
          <t>1. Update string/int/bool/time
2. invalid type
3. batch partial error</t>
        </is>
      </c>
      <c r="D28" s="133" t="inlineStr">
        <is>
          <t>Validation by type; batch atomic; updated_by/time set; audit</t>
        </is>
      </c>
      <c r="E28" s="133" t="inlineStr">
        <is>
          <t>Admin logged in</t>
        </is>
      </c>
      <c r="F28" s="169" t="inlineStr">
        <is>
          <t>Pending</t>
        </is>
      </c>
      <c r="G28" s="170" t="n">
        <v>46229</v>
      </c>
      <c r="H28" s="39" t="inlineStr">
        <is>
          <t>Codex QA</t>
        </is>
      </c>
      <c r="I28" s="39" t="inlineStr">
        <is>
          <t>Pending</t>
        </is>
      </c>
      <c r="J28" s="39" t="n"/>
      <c r="K28" s="39" t="n"/>
      <c r="L28" s="39" t="inlineStr">
        <is>
          <t>Pending</t>
        </is>
      </c>
      <c r="M28" s="39" t="n"/>
      <c r="N28" s="39" t="n"/>
      <c r="O28" s="42" t="inlineStr">
        <is>
          <t>Test Data: boundary values
Priority: P0
Type: Integration, Database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29" ht="121.05" customHeight="1">
      <c r="A29" s="39" t="inlineStr">
        <is>
          <t>ADM-013</t>
        </is>
      </c>
      <c r="B29" s="40" t="inlineStr">
        <is>
          <t>[Admin] SMTP test</t>
        </is>
      </c>
      <c r="C29" s="40" t="inlineStr">
        <is>
          <t>Test success/failure/timeout/injection</t>
        </is>
      </c>
      <c r="D29" s="133" t="inlineStr">
        <is>
          <t>Clear result; no credential leak; failures handled/outbox policy as designed</t>
        </is>
      </c>
      <c r="E29" s="133" t="inlineStr">
        <is>
          <t>SMTP sandbox</t>
        </is>
      </c>
      <c r="F29" s="169" t="inlineStr">
        <is>
          <t>Pending</t>
        </is>
      </c>
      <c r="G29" s="170" t="n">
        <v>46229</v>
      </c>
      <c r="H29" s="39" t="inlineStr">
        <is>
          <t>Codex QA</t>
        </is>
      </c>
      <c r="I29" s="39" t="inlineStr">
        <is>
          <t>Pending</t>
        </is>
      </c>
      <c r="J29" s="39" t="n"/>
      <c r="K29" s="39" t="n"/>
      <c r="L29" s="39" t="inlineStr">
        <is>
          <t>Pending</t>
        </is>
      </c>
      <c r="M29" s="39" t="n"/>
      <c r="N29" s="39" t="n"/>
      <c r="O29" s="42" t="inlineStr">
        <is>
          <t>Test Data: SMTP payloads
Priority: P1
Type: Integration, Security
ROUND 1 ACTUAL RESULT (26 Jul 2026): PENDING — The relevant external provider/file-delivery workflow was not available as a complete System Test environment. Mocked automated checks passed where present.</t>
        </is>
      </c>
    </row>
    <row r="30" ht="22" customHeight="1">
      <c r="A30" s="157" t="inlineStr">
        <is>
          <t>Scenario: Notification Rules</t>
        </is>
      </c>
      <c r="B30" s="158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K30" s="159" t="n"/>
      <c r="L30" s="159" t="n"/>
      <c r="M30" s="159" t="n"/>
      <c r="N30" s="159" t="n"/>
      <c r="O30" s="160" t="n"/>
    </row>
    <row r="31" ht="121.05" customHeight="1">
      <c r="A31" s="39" t="inlineStr">
        <is>
          <t>ADM-014</t>
        </is>
      </c>
      <c r="B31" s="40" t="inlineStr">
        <is>
          <t>[Admin] List/create/update</t>
        </is>
      </c>
      <c r="C31" s="40" t="inlineStr">
        <is>
          <t>CRUD through `/api/admin/notifications/rules`</t>
        </is>
      </c>
      <c r="D31" s="133" t="inlineStr">
        <is>
          <t>Rules list/create/update; duplicate key conflict; audit; API-only limitation documented</t>
        </is>
      </c>
      <c r="E31" s="133" t="inlineStr">
        <is>
          <t>Rule settings available</t>
        </is>
      </c>
      <c r="F31" s="169" t="inlineStr">
        <is>
          <t>Pending</t>
        </is>
      </c>
      <c r="G31" s="170" t="n">
        <v>46229</v>
      </c>
      <c r="H31" s="39" t="inlineStr">
        <is>
          <t>Codex QA</t>
        </is>
      </c>
      <c r="I31" s="39" t="inlineStr">
        <is>
          <t>Pending</t>
        </is>
      </c>
      <c r="J31" s="39" t="n"/>
      <c r="K31" s="39" t="n"/>
      <c r="L31" s="39" t="inlineStr">
        <is>
          <t>Pending</t>
        </is>
      </c>
      <c r="M31" s="39" t="n"/>
      <c r="N31" s="39" t="n"/>
      <c r="O31" s="42" t="inlineStr">
        <is>
          <t>Test Data: valid/duplicate/invalid
Priority: P1
Type: Functional, API
ROUND 1 ACTUAL RESULT (26 Jul 2026): PENDING — No automated test directly covers every step and expected result of this System Test. Backend 120/120 and frontend 18/18 automated tests passed, but manual/full-stack execution is still required.</t>
        </is>
      </c>
    </row>
    <row r="32" ht="22" customHeight="1">
      <c r="A32" s="157" t="inlineStr">
        <is>
          <t>Scenario: UI/Permission</t>
        </is>
      </c>
      <c r="B32" s="158" t="n"/>
      <c r="C32" s="159" t="n"/>
      <c r="D32" s="159" t="n"/>
      <c r="E32" s="159" t="n"/>
      <c r="F32" s="159" t="n"/>
      <c r="G32" s="159" t="n"/>
      <c r="H32" s="159" t="n"/>
      <c r="I32" s="159" t="n"/>
      <c r="J32" s="159" t="n"/>
      <c r="K32" s="159" t="n"/>
      <c r="L32" s="159" t="n"/>
      <c r="M32" s="159" t="n"/>
      <c r="N32" s="159" t="n"/>
      <c r="O32" s="160" t="n"/>
    </row>
    <row r="33" ht="121.05" customHeight="1">
      <c r="A33" s="39" t="inlineStr">
        <is>
          <t>ADM-015</t>
        </is>
      </c>
      <c r="B33" s="40" t="inlineStr">
        <is>
          <t>[Admin] Menus/direct API</t>
        </is>
      </c>
      <c r="C33" s="40" t="inlineStr">
        <is>
          <t>1. Traverse Admin routes
2. attempt Staff/Manager/Student actions</t>
        </is>
      </c>
      <c r="D33" s="133" t="inlineStr">
        <is>
          <t>Admin UI correct; non-authorized domain endpoints 403; no privilege confusion</t>
        </is>
      </c>
      <c r="E33" s="133" t="inlineStr">
        <is>
          <t>Admin logged in</t>
        </is>
      </c>
      <c r="F33" s="169" t="inlineStr">
        <is>
          <t>Pending</t>
        </is>
      </c>
      <c r="G33" s="170" t="n">
        <v>46229</v>
      </c>
      <c r="H33" s="39" t="inlineStr">
        <is>
          <t>Codex QA</t>
        </is>
      </c>
      <c r="I33" s="39" t="inlineStr">
        <is>
          <t>Pending</t>
        </is>
      </c>
      <c r="J33" s="39" t="n"/>
      <c r="K33" s="39" t="n"/>
      <c r="L33" s="39" t="inlineStr">
        <is>
          <t>Pending</t>
        </is>
      </c>
      <c r="M33" s="39" t="n"/>
      <c r="N33" s="39" t="n"/>
      <c r="O33" s="42" t="inlineStr">
        <is>
          <t>Test Data: routes/tokens
Priority: P0
Type: Permission, Regression
ROUND 1 ACTUAL RESULT (26 Jul 2026): PENDING — Frontend unit tests, lint, and production build passed, but no Playwright/Cypress browser runner is configured for this end-to-end UI scenario.</t>
        </is>
      </c>
    </row>
    <row r="34" ht="22" customHeight="1">
      <c r="A34" s="157" t="inlineStr">
        <is>
          <t>Scenario: Gap-check</t>
        </is>
      </c>
      <c r="B34" s="158" t="n"/>
      <c r="C34" s="159" t="n"/>
      <c r="D34" s="159" t="n"/>
      <c r="E34" s="159" t="n"/>
      <c r="F34" s="159" t="n"/>
      <c r="G34" s="159" t="n"/>
      <c r="H34" s="159" t="n"/>
      <c r="I34" s="159" t="n"/>
      <c r="J34" s="159" t="n"/>
      <c r="K34" s="159" t="n"/>
      <c r="L34" s="159" t="n"/>
      <c r="M34" s="159" t="n"/>
      <c r="N34" s="159" t="n"/>
      <c r="O34" s="160" t="n"/>
    </row>
    <row r="35" ht="121.05" customHeight="1">
      <c r="A35" s="39" t="inlineStr">
        <is>
          <t>ADM-016</t>
        </is>
      </c>
      <c r="B35" s="40" t="inlineStr">
        <is>
          <t>[Admin] Report/export scope vs UC-38</t>
        </is>
      </c>
      <c r="C35" s="40" t="inlineStr">
        <is>
          <t>1. Mở `/admin/reports`
2. tìm nút xuất PDF/CSV/Excel và biểu đồ tăng trưởng người dùng/hiệu suất học tập theo mô tả UC-38</t>
        </is>
      </c>
      <c r="D35" s="133" t="inlineStr">
        <is>
          <t>Xác nhận hiện trạng `/admin/reports` chỉ hiển thị Audit Log (ADM-002), KHÔNG có export hay biểu đồ growth/performance; ghi nhận deviation so với đặc tả UC-38, cần Product xác nhận đây là giảm phạm vi có chủ đích hay backlog còn thiếu</t>
        </is>
      </c>
      <c r="E35" s="133" t="inlineStr">
        <is>
          <t>Admin logged in</t>
        </is>
      </c>
      <c r="F35" s="171" t="inlineStr">
        <is>
          <t>Passed</t>
        </is>
      </c>
      <c r="G35" s="170" t="n">
        <v>46229</v>
      </c>
      <c r="H35" s="39" t="inlineStr">
        <is>
          <t>Codex QA</t>
        </is>
      </c>
      <c r="I35" s="39" t="inlineStr">
        <is>
          <t>Pending</t>
        </is>
      </c>
      <c r="J35" s="39" t="n"/>
      <c r="K35" s="39" t="n"/>
      <c r="L35" s="39" t="inlineStr">
        <is>
          <t>Pending</t>
        </is>
      </c>
      <c r="M35" s="39" t="n"/>
      <c r="N35" s="39" t="n"/>
      <c r="O35" s="42" t="inlineStr">
        <is>
          <t>Test Data: N/A
Priority: P1
Type: Gap, Regression
ROUND 1 ACTUAL RESULT (26 Jul 2026): PASSED — Static route and source inventory confirmed that Admin Reports currently exposes audit data without the full PDF/CSV/Excel reporting scope.</t>
        </is>
      </c>
    </row>
  </sheetData>
  <autoFilter ref="A10:O35"/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tToWidth="1" firstPageNumber="0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0" summaryRight="0"/>
    <pageSetUpPr fitToPage="1"/>
  </sheetPr>
  <dimension ref="A2:R4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ColWidth="9" defaultRowHeight="12.75" outlineLevelRow="1"/>
  <cols>
    <col width="16" customWidth="1" style="1" min="1" max="1"/>
    <col width="34" customWidth="1" style="1" min="2" max="2"/>
    <col width="48" customWidth="1" style="1" min="3" max="3"/>
    <col width="48" customWidth="1" style="1" min="4" max="4"/>
    <col width="32" customWidth="1" style="1" min="5" max="5"/>
    <col width="12" customWidth="1" style="1" min="6" max="6"/>
    <col outlineLevel="1" width="14" customWidth="1" style="1" min="7" max="7"/>
    <col outlineLevel="1" width="18" bestFit="1" customWidth="1" style="1" min="8" max="8"/>
    <col width="12" customWidth="1" style="1" min="9" max="9"/>
    <col outlineLevel="1" width="14" customWidth="1" style="1" min="10" max="10"/>
    <col outlineLevel="1" width="18" bestFit="1" customWidth="1" style="1" min="11" max="11"/>
    <col width="12" customWidth="1" style="1" min="12" max="12"/>
    <col outlineLevel="1" width="14" customWidth="1" style="1" min="13" max="13"/>
    <col outlineLevel="1" width="18" bestFit="1" customWidth="1" style="1" min="14" max="14"/>
    <col width="34" customWidth="1" style="1" min="15" max="15"/>
    <col width="10.1328125" customWidth="1" style="1" min="16" max="16"/>
    <col width="8.1328125" customWidth="1" style="28" min="17" max="17"/>
    <col hidden="1" width="7.6640625" customWidth="1" style="1" min="18" max="18"/>
    <col width="9" customWidth="1" style="1" min="19" max="16384"/>
  </cols>
  <sheetData>
    <row r="1" ht="13.15" customHeight="1" thickBot="1"/>
    <row r="2" ht="15" customFormat="1" customHeight="1" s="30">
      <c r="A2" s="92" t="inlineStr">
        <is>
          <t>Workflow</t>
        </is>
      </c>
      <c r="B2" s="139" t="inlineStr">
        <is>
          <t>CrossRole_Security</t>
        </is>
      </c>
      <c r="C2" s="153" t="n"/>
      <c r="D2" s="153" t="n"/>
      <c r="E2" s="154" t="n"/>
      <c r="F2" s="82" t="n"/>
      <c r="G2" s="76" t="n"/>
      <c r="H2" s="9" t="n"/>
      <c r="I2" s="82" t="n"/>
      <c r="J2" s="76" t="n"/>
      <c r="K2" s="9" t="n"/>
      <c r="L2" s="82" t="n"/>
      <c r="M2" s="76" t="n"/>
      <c r="N2" s="9" t="n"/>
      <c r="O2" s="9" t="n"/>
      <c r="P2" s="9" t="n"/>
      <c r="Q2" s="29" t="n"/>
      <c r="R2" s="30" t="inlineStr">
        <is>
          <t>Passed</t>
        </is>
      </c>
    </row>
    <row r="3" customFormat="1" s="30">
      <c r="A3" s="93" t="inlineStr">
        <is>
          <t>Test requirement</t>
        </is>
      </c>
      <c r="B3" s="141" t="inlineStr">
        <is>
          <t>Cross-role authorization, security, reliability, UI and database</t>
        </is>
      </c>
      <c r="C3" s="155" t="n"/>
      <c r="D3" s="155" t="n"/>
      <c r="E3" s="156" t="n"/>
      <c r="F3" s="82" t="n"/>
      <c r="G3" s="76" t="n"/>
      <c r="H3" s="9" t="n"/>
      <c r="I3" s="82" t="n"/>
      <c r="J3" s="76" t="n"/>
      <c r="K3" s="9" t="n"/>
      <c r="L3" s="82" t="n"/>
      <c r="M3" s="76" t="n"/>
      <c r="N3" s="9" t="n"/>
      <c r="O3" s="9" t="n"/>
      <c r="P3" s="9" t="n"/>
      <c r="Q3" s="29" t="n"/>
      <c r="R3" s="30" t="inlineStr">
        <is>
          <t>Failed</t>
        </is>
      </c>
    </row>
    <row r="4" ht="18" customFormat="1" customHeight="1" s="30">
      <c r="A4" s="93" t="inlineStr">
        <is>
          <t>Number of TCs</t>
        </is>
      </c>
      <c r="B4" s="141">
        <f>COUNTA(A12:A1000)</f>
        <v/>
      </c>
      <c r="C4" s="155" t="n"/>
      <c r="D4" s="155" t="n"/>
      <c r="E4" s="156" t="n"/>
      <c r="F4" s="82" t="n"/>
      <c r="G4" s="76" t="n"/>
      <c r="H4" s="9" t="n"/>
      <c r="I4" s="82" t="n"/>
      <c r="J4" s="76" t="n"/>
      <c r="K4" s="9" t="n"/>
      <c r="L4" s="82" t="n"/>
      <c r="M4" s="76" t="n"/>
      <c r="N4" s="9" t="n"/>
      <c r="O4" s="9" t="n"/>
      <c r="P4" s="9" t="n"/>
      <c r="Q4" s="29" t="n"/>
      <c r="R4" s="30" t="inlineStr">
        <is>
          <t>Pending</t>
        </is>
      </c>
    </row>
    <row r="5" ht="19.5" customFormat="1" customHeight="1" s="30">
      <c r="A5" s="86" t="inlineStr">
        <is>
          <t>Testing Round</t>
        </is>
      </c>
      <c r="B5" s="84" t="inlineStr">
        <is>
          <t>Passed</t>
        </is>
      </c>
      <c r="C5" s="84" t="inlineStr">
        <is>
          <t>Failed</t>
        </is>
      </c>
      <c r="D5" s="84" t="inlineStr">
        <is>
          <t>Pending</t>
        </is>
      </c>
      <c r="E5" s="87" t="inlineStr">
        <is>
          <t>N/A</t>
        </is>
      </c>
      <c r="F5" s="77" t="n"/>
      <c r="G5" s="77" t="n"/>
      <c r="H5" s="31" t="n"/>
      <c r="I5" s="77" t="n"/>
      <c r="J5" s="77" t="n"/>
      <c r="K5" s="31" t="n"/>
      <c r="L5" s="77" t="n"/>
      <c r="M5" s="77" t="n"/>
      <c r="N5" s="31" t="n"/>
      <c r="O5" s="31" t="n"/>
      <c r="P5" s="31" t="n"/>
      <c r="Q5" s="32" t="n"/>
      <c r="R5" s="30" t="inlineStr">
        <is>
          <t>N/A</t>
        </is>
      </c>
    </row>
    <row r="6" ht="15" customFormat="1" customHeight="1" s="30">
      <c r="A6" s="86" t="inlineStr">
        <is>
          <t>Round 1</t>
        </is>
      </c>
      <c r="B6" s="85">
        <f>COUNTIF($F$12:$F$1000,"Passed")</f>
        <v/>
      </c>
      <c r="C6" s="85">
        <f>COUNTIF($F$12:$F$1000,"Failed")</f>
        <v/>
      </c>
      <c r="D6" s="85">
        <f>COUNTIF($F$12:$F$1000,"Pending")</f>
        <v/>
      </c>
      <c r="E6" s="91">
        <f>COUNTIF($F$12:$F$1000,"N/A")</f>
        <v/>
      </c>
      <c r="F6" s="78" t="n"/>
      <c r="G6" s="78" t="n"/>
      <c r="H6" s="31" t="n"/>
      <c r="I6" s="78" t="n"/>
      <c r="J6" s="78" t="n"/>
      <c r="K6" s="31" t="n"/>
      <c r="L6" s="78" t="n"/>
      <c r="M6" s="78" t="n"/>
      <c r="N6" s="31" t="n"/>
      <c r="O6" s="31" t="n"/>
      <c r="P6" s="31" t="n"/>
      <c r="Q6" s="32" t="n"/>
    </row>
    <row r="7" ht="15" customFormat="1" customHeight="1" s="30">
      <c r="A7" s="86" t="inlineStr">
        <is>
          <t>Round 2</t>
        </is>
      </c>
      <c r="B7" s="85">
        <f>COUNTIF($I$12:$I$1000,"Passed")</f>
        <v/>
      </c>
      <c r="C7" s="85">
        <f>COUNTIF($I$12:$I$1000,"Failed")</f>
        <v/>
      </c>
      <c r="D7" s="85">
        <f>COUNTIF($I$12:$I$1000,"Pending")</f>
        <v/>
      </c>
      <c r="E7" s="91">
        <f>COUNTIF($I$12:$I$1000,"N/A")</f>
        <v/>
      </c>
      <c r="F7" s="78" t="n"/>
      <c r="G7" s="78" t="n"/>
      <c r="H7" s="31" t="n"/>
      <c r="I7" s="78" t="n"/>
      <c r="J7" s="78" t="n"/>
      <c r="K7" s="31" t="n"/>
      <c r="L7" s="78" t="n"/>
      <c r="M7" s="78" t="n"/>
      <c r="N7" s="31" t="n"/>
      <c r="O7" s="31" t="n"/>
      <c r="P7" s="31" t="n"/>
      <c r="Q7" s="32" t="n"/>
    </row>
    <row r="8" ht="15" customFormat="1" customHeight="1" s="30" thickBot="1">
      <c r="A8" s="88" t="inlineStr">
        <is>
          <t>Round 3</t>
        </is>
      </c>
      <c r="B8" s="89">
        <f>COUNTIF($L$12:$L$1000,"Passed")</f>
        <v/>
      </c>
      <c r="C8" s="89">
        <f>COUNTIF($L$12:$L$1000,"Failed")</f>
        <v/>
      </c>
      <c r="D8" s="89">
        <f>COUNTIF($L$12:$L$1000,"Pending")</f>
        <v/>
      </c>
      <c r="E8" s="90">
        <f>COUNTIF($L$12:$L$1000,"N/A")</f>
        <v/>
      </c>
      <c r="F8" s="78" t="n"/>
      <c r="G8" s="78" t="n"/>
      <c r="H8" s="31" t="n"/>
      <c r="I8" s="78" t="n"/>
      <c r="J8" s="78" t="n"/>
      <c r="K8" s="31" t="n"/>
      <c r="L8" s="78" t="n"/>
      <c r="M8" s="78" t="n"/>
      <c r="N8" s="31" t="n"/>
      <c r="O8" s="31" t="n"/>
      <c r="P8" s="31" t="n"/>
      <c r="Q8" s="32" t="n"/>
    </row>
    <row r="9" ht="15" customFormat="1" customHeight="1" s="30">
      <c r="A9" s="31" t="n"/>
      <c r="B9" s="31" t="n"/>
      <c r="C9" s="31" t="n"/>
      <c r="D9" s="31" t="n"/>
      <c r="E9" s="31" t="n"/>
      <c r="F9" s="33" t="n"/>
      <c r="G9" s="31" t="n"/>
      <c r="H9" s="31" t="n"/>
      <c r="I9" s="33" t="n"/>
      <c r="J9" s="31" t="n"/>
      <c r="K9" s="31" t="n"/>
      <c r="L9" s="33" t="n"/>
      <c r="M9" s="31" t="n"/>
      <c r="N9" s="31" t="n"/>
      <c r="O9" s="31" t="n"/>
      <c r="P9" s="31" t="n"/>
      <c r="Q9" s="32" t="n"/>
    </row>
    <row r="10" ht="25.5" customFormat="1" customHeight="1" s="30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 t="n"/>
    </row>
    <row r="11" ht="22" customFormat="1" customHeight="1" s="30">
      <c r="A11" s="157" t="inlineStr">
        <is>
          <t>Scenario: Authorization</t>
        </is>
      </c>
      <c r="B11" s="158" t="n"/>
      <c r="C11" s="159" t="n"/>
      <c r="D11" s="159" t="n"/>
      <c r="E11" s="159" t="n"/>
      <c r="F11" s="159" t="n"/>
      <c r="G11" s="159" t="n"/>
      <c r="H11" s="159" t="n"/>
      <c r="I11" s="159" t="n"/>
      <c r="J11" s="159" t="n"/>
      <c r="K11" s="159" t="n"/>
      <c r="L11" s="159" t="n"/>
      <c r="M11" s="159" t="n"/>
      <c r="N11" s="159" t="n"/>
      <c r="O11" s="160" t="n"/>
    </row>
    <row r="12" outlineLevel="1" ht="121.05" customFormat="1" customHeight="1" s="44">
      <c r="A12" s="39" t="inlineStr">
        <is>
          <t>SEC-001</t>
        </is>
      </c>
      <c r="B12" s="40" t="inlineStr">
        <is>
          <t>[Mọi role] Cross-role matrix</t>
        </is>
      </c>
      <c r="C12" s="40" t="inlineStr">
        <is>
          <t>Gọi `/students`, `/staff`, `/manager`, `/admin` bằng từng token</t>
        </is>
      </c>
      <c r="D12" s="133" t="inlineStr">
        <is>
          <t>Allowed đúng role; còn lại 403; no data leak</t>
        </is>
      </c>
      <c r="E12" s="133" t="inlineStr">
        <is>
          <t>Tokens for all roles</t>
        </is>
      </c>
      <c r="F12" s="169" t="inlineStr">
        <is>
          <t>Pending</t>
        </is>
      </c>
      <c r="G12" s="170" t="n">
        <v>46229</v>
      </c>
      <c r="H12" s="39" t="inlineStr">
        <is>
          <t>Codex QA</t>
        </is>
      </c>
      <c r="I12" s="39" t="inlineStr">
        <is>
          <t>Pending</t>
        </is>
      </c>
      <c r="J12" s="39" t="n"/>
      <c r="K12" s="39" t="n"/>
      <c r="L12" s="39" t="inlineStr">
        <is>
          <t>Pending</t>
        </is>
      </c>
      <c r="M12" s="39" t="n"/>
      <c r="N12" s="39" t="n"/>
      <c r="O12" s="42" t="inlineStr">
        <is>
          <t>Test Data: token matrix
Priority: P0
Type: Permission, Security
ROUND 1 ACTUAL RESULT (26 Jul 2026): PENDING — This security/database/recovery scenario requires a running full stack, MySQL, multiple role accounts, or a dedicated security/performance tool. Docker is not installed.</t>
        </is>
      </c>
    </row>
    <row r="13" outlineLevel="1" ht="121.05" customHeight="1">
      <c r="A13" s="39" t="inlineStr">
        <is>
          <t>SEC-002</t>
        </is>
      </c>
      <c r="B13" s="40" t="inlineStr">
        <is>
          <t>[Mọi role] IDOR</t>
        </is>
      </c>
      <c r="C13" s="40" t="inlineStr">
        <is>
          <t>Thay user/content/ticket/attempt/submission IDs</t>
        </is>
      </c>
      <c r="D13" s="133" t="inlineStr">
        <is>
          <t>403/404; không đọc/sửa dữ liệu của actor khác</t>
        </is>
      </c>
      <c r="E13" s="133" t="inlineStr">
        <is>
          <t>Two actors each role</t>
        </is>
      </c>
      <c r="F13" s="169" t="inlineStr">
        <is>
          <t>Pending</t>
        </is>
      </c>
      <c r="G13" s="170" t="n">
        <v>46229</v>
      </c>
      <c r="H13" s="39" t="inlineStr">
        <is>
          <t>Codex QA</t>
        </is>
      </c>
      <c r="I13" s="39" t="inlineStr">
        <is>
          <t>Pending</t>
        </is>
      </c>
      <c r="J13" s="39" t="n"/>
      <c r="K13" s="39" t="n"/>
      <c r="L13" s="39" t="inlineStr">
        <is>
          <t>Pending</t>
        </is>
      </c>
      <c r="M13" s="39" t="n"/>
      <c r="N13" s="39" t="n"/>
      <c r="O13" s="42" t="inlineStr">
        <is>
          <t>Test Data: foreign IDs
Priority: P0
Type: Security
ROUND 1 ACTUAL RESULT (26 Jul 2026): PENDING — This security/database/recovery scenario requires a running full stack, MySQL, multiple role accounts, or a dedicated security/performance tool. Docker is not installed.</t>
        </is>
      </c>
    </row>
    <row r="14" outlineLevel="1" ht="22" customHeight="1">
      <c r="A14" s="157" t="inlineStr">
        <is>
          <t>Scenario: API</t>
        </is>
      </c>
      <c r="B14" s="158" t="n"/>
      <c r="C14" s="159" t="n"/>
      <c r="D14" s="159" t="n"/>
      <c r="E14" s="159" t="n"/>
      <c r="F14" s="159" t="n"/>
      <c r="G14" s="159" t="n"/>
      <c r="H14" s="159" t="n"/>
      <c r="I14" s="159" t="n"/>
      <c r="J14" s="159" t="n"/>
      <c r="K14" s="159" t="n"/>
      <c r="L14" s="159" t="n"/>
      <c r="M14" s="159" t="n"/>
      <c r="N14" s="159" t="n"/>
      <c r="O14" s="160" t="n"/>
    </row>
    <row r="15" ht="121.05" customFormat="1" customHeight="1" s="30">
      <c r="A15" s="39" t="inlineStr">
        <is>
          <t>SEC-003</t>
        </is>
      </c>
      <c r="B15" s="40" t="inlineStr">
        <is>
          <t>[Khách] No token/malformed</t>
        </is>
      </c>
      <c r="C15" s="40" t="inlineStr">
        <is>
          <t>Gọi mọi protected API không token/malformed</t>
        </is>
      </c>
      <c r="D15" s="133" t="inlineStr">
        <is>
          <t>401 JSON chuẩn; không redirect HTML; DB unchanged</t>
        </is>
      </c>
      <c r="E15" s="133" t="inlineStr">
        <is>
          <t>None</t>
        </is>
      </c>
      <c r="F15" s="171" t="inlineStr">
        <is>
          <t>Passed</t>
        </is>
      </c>
      <c r="G15" s="170" t="n">
        <v>46229</v>
      </c>
      <c r="H15" s="39" t="inlineStr">
        <is>
          <t>Codex QA</t>
        </is>
      </c>
      <c r="I15" s="39" t="inlineStr">
        <is>
          <t>Pending</t>
        </is>
      </c>
      <c r="J15" s="39" t="n"/>
      <c r="K15" s="39" t="n"/>
      <c r="L15" s="39" t="inlineStr">
        <is>
          <t>Pending</t>
        </is>
      </c>
      <c r="M15" s="39" t="n"/>
      <c r="N15" s="39" t="n"/>
      <c r="O15" s="42" t="inlineStr">
        <is>
          <t>Test Data: no/invalid token
Priority: P0
Type: Security, API
ROUND 1 ACTUAL RESULT (26 Jul 2026): PASSED — AssessmentControllerIntegrationTest rejected an unauthenticated request and JwtProviderTest rejected an invalid token.</t>
        </is>
      </c>
    </row>
    <row r="16" outlineLevel="1" ht="22" customHeight="1">
      <c r="A16" s="157" t="inlineStr">
        <is>
          <t>Scenario: Input</t>
        </is>
      </c>
      <c r="B16" s="158" t="n"/>
      <c r="C16" s="159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  <c r="O16" s="160" t="n"/>
    </row>
    <row r="17" outlineLevel="1" ht="121.05" customHeight="1">
      <c r="A17" s="39" t="inlineStr">
        <is>
          <t>SEC-004</t>
        </is>
      </c>
      <c r="B17" s="40" t="inlineStr">
        <is>
          <t>[Mọi role] SQL injection</t>
        </is>
      </c>
      <c r="C17" s="40" t="inlineStr">
        <is>
          <t>Gửi SQL payload vào search/filter/body</t>
        </is>
      </c>
      <c r="D17" s="133" t="inlineStr">
        <is>
          <t>Query parameterized; no auth bypass/data change/500</t>
        </is>
      </c>
      <c r="E17" s="133" t="inlineStr">
        <is>
          <t>App running</t>
        </is>
      </c>
      <c r="F17" s="169" t="inlineStr">
        <is>
          <t>Pending</t>
        </is>
      </c>
      <c r="G17" s="170" t="n">
        <v>46229</v>
      </c>
      <c r="H17" s="39" t="inlineStr">
        <is>
          <t>Codex QA</t>
        </is>
      </c>
      <c r="I17" s="39" t="inlineStr">
        <is>
          <t>Pending</t>
        </is>
      </c>
      <c r="J17" s="39" t="n"/>
      <c r="K17" s="39" t="n"/>
      <c r="L17" s="39" t="inlineStr">
        <is>
          <t>Pending</t>
        </is>
      </c>
      <c r="M17" s="39" t="n"/>
      <c r="N17" s="39" t="n"/>
      <c r="O17" s="42" t="inlineStr">
        <is>
          <t>Test Data: `SQL-XSS`
Priority: P0
Type: Security
ROUND 1 ACTUAL RESULT (26 Jul 2026): PENDING — This security/database/recovery scenario requires a running full stack, MySQL, multiple role accounts, or a dedicated security/performance tool. Docker is not installed.</t>
        </is>
      </c>
    </row>
    <row r="18" ht="121.05" customFormat="1" customHeight="1" s="30">
      <c r="A18" s="39" t="inlineStr">
        <is>
          <t>SEC-005</t>
        </is>
      </c>
      <c r="B18" s="40" t="inlineStr">
        <is>
          <t>[Mọi role] Stored/reflected XSS</t>
        </is>
      </c>
      <c r="C18" s="40" t="inlineStr">
        <is>
          <t>1. Lưu payload
2. mở mọi nơi hiển thị</t>
        </is>
      </c>
      <c r="D18" s="133" t="inlineStr">
        <is>
          <t>Escaped/sanitized; CSP/browser không execute</t>
        </is>
      </c>
      <c r="E18" s="133" t="inlineStr">
        <is>
          <t>Writable text fields</t>
        </is>
      </c>
      <c r="F18" s="169" t="inlineStr">
        <is>
          <t>Pending</t>
        </is>
      </c>
      <c r="G18" s="170" t="n">
        <v>46229</v>
      </c>
      <c r="H18" s="39" t="inlineStr">
        <is>
          <t>Codex QA</t>
        </is>
      </c>
      <c r="I18" s="39" t="inlineStr">
        <is>
          <t>Pending</t>
        </is>
      </c>
      <c r="J18" s="39" t="n"/>
      <c r="K18" s="39" t="n"/>
      <c r="L18" s="39" t="inlineStr">
        <is>
          <t>Pending</t>
        </is>
      </c>
      <c r="M18" s="39" t="n"/>
      <c r="N18" s="39" t="n"/>
      <c r="O18" s="42" t="inlineStr">
        <is>
          <t>Test Data: XSS payload
Priority: P0
Type: Security, UI
ROUND 1 ACTUAL RESULT (26 Jul 2026): PENDING — Frontend unit tests, lint, and production build passed, but no Playwright/Cypress browser runner is configured for this end-to-end UI scenario.</t>
        </is>
      </c>
    </row>
    <row r="19" outlineLevel="1" ht="22" customHeight="1">
      <c r="A19" s="157" t="inlineStr">
        <is>
          <t>Scenario: API</t>
        </is>
      </c>
      <c r="B19" s="158" t="n"/>
      <c r="C19" s="159" t="n"/>
      <c r="D19" s="159" t="n"/>
      <c r="E19" s="159" t="n"/>
      <c r="F19" s="159" t="n"/>
      <c r="G19" s="159" t="n"/>
      <c r="H19" s="159" t="n"/>
      <c r="I19" s="159" t="n"/>
      <c r="J19" s="159" t="n"/>
      <c r="K19" s="159" t="n"/>
      <c r="L19" s="159" t="n"/>
      <c r="M19" s="159" t="n"/>
      <c r="N19" s="159" t="n"/>
      <c r="O19" s="160" t="n"/>
    </row>
    <row r="20" ht="121.05" customHeight="1">
      <c r="A20" s="39" t="inlineStr">
        <is>
          <t>SEC-006</t>
        </is>
      </c>
      <c r="B20" s="40" t="inlineStr">
        <is>
          <t>[Mọi role] Mass assignment</t>
        </is>
      </c>
      <c r="C20" s="40" t="inlineStr">
        <is>
          <t>Thêm fields role/status/score/creator/approvedBy vào DTO</t>
        </is>
      </c>
      <c r="D20" s="133" t="inlineStr">
        <is>
          <t>Ignored/rejected; server-owned fields unchanged</t>
        </is>
      </c>
      <c r="E20" s="133" t="inlineStr">
        <is>
          <t>Authenticated</t>
        </is>
      </c>
      <c r="F20" s="169" t="inlineStr">
        <is>
          <t>Pending</t>
        </is>
      </c>
      <c r="G20" s="170" t="n">
        <v>46229</v>
      </c>
      <c r="H20" s="39" t="inlineStr">
        <is>
          <t>Codex QA</t>
        </is>
      </c>
      <c r="I20" s="39" t="inlineStr">
        <is>
          <t>Pending</t>
        </is>
      </c>
      <c r="J20" s="39" t="n"/>
      <c r="K20" s="39" t="n"/>
      <c r="L20" s="39" t="inlineStr">
        <is>
          <t>Pending</t>
        </is>
      </c>
      <c r="M20" s="39" t="n"/>
      <c r="N20" s="39" t="n"/>
      <c r="O20" s="42" t="inlineStr">
        <is>
          <t>Test Data: forged fields
Priority: P0
Type: Security
ROUND 1 ACTUAL RESULT (26 Jul 2026): PENDING — This security/database/recovery scenario requires a running full stack, MySQL, multiple role accounts, or a dedicated security/performance tool. Docker is not installed.</t>
        </is>
      </c>
    </row>
    <row r="21" ht="121.05" customHeight="1">
      <c r="A21" s="39" t="inlineStr">
        <is>
          <t>SEC-007</t>
        </is>
      </c>
      <c r="B21" s="40" t="inlineStr">
        <is>
          <t>[Mọi role] Method/content type</t>
        </is>
      </c>
      <c r="C21" s="40" t="inlineStr">
        <is>
          <t>Dùng sai HTTP method/content-type/malformed JSON</t>
        </is>
      </c>
      <c r="D21" s="133" t="inlineStr">
        <is>
          <t>405/415/400; response chuẩn; no stack trace</t>
        </is>
      </c>
      <c r="E21" s="133" t="inlineStr">
        <is>
          <t>Authenticated</t>
        </is>
      </c>
      <c r="F21" s="169" t="inlineStr">
        <is>
          <t>Pending</t>
        </is>
      </c>
      <c r="G21" s="170" t="n">
        <v>46229</v>
      </c>
      <c r="H21" s="39" t="inlineStr">
        <is>
          <t>Codex QA</t>
        </is>
      </c>
      <c r="I21" s="39" t="inlineStr">
        <is>
          <t>Pending</t>
        </is>
      </c>
      <c r="J21" s="39" t="n"/>
      <c r="K21" s="39" t="n"/>
      <c r="L21" s="39" t="inlineStr">
        <is>
          <t>Pending</t>
        </is>
      </c>
      <c r="M21" s="39" t="n"/>
      <c r="N21" s="39" t="n"/>
      <c r="O21" s="42" t="inlineStr">
        <is>
          <t>Test Data: request variants
Priority: P1
Type: API, Negative
ROUND 1 ACTUAL RESULT (26 Jul 2026): PENDING — This security/database/recovery scenario requires a running full stack, MySQL, multiple role accounts, or a dedicated security/performance tool. Docker is not installed.</t>
        </is>
      </c>
    </row>
    <row r="22" ht="22" customHeight="1">
      <c r="A22" s="157" t="inlineStr">
        <is>
          <t>Scenario: CORS/Headers</t>
        </is>
      </c>
      <c r="B22" s="158" t="n"/>
      <c r="C22" s="159" t="n"/>
      <c r="D22" s="159" t="n"/>
      <c r="E22" s="159" t="n"/>
      <c r="F22" s="159" t="n"/>
      <c r="G22" s="159" t="n"/>
      <c r="H22" s="159" t="n"/>
      <c r="I22" s="159" t="n"/>
      <c r="J22" s="159" t="n"/>
      <c r="K22" s="159" t="n"/>
      <c r="L22" s="159" t="n"/>
      <c r="M22" s="159" t="n"/>
      <c r="N22" s="159" t="n"/>
      <c r="O22" s="160" t="n"/>
    </row>
    <row r="23" ht="121.05" customHeight="1">
      <c r="A23" s="39" t="inlineStr">
        <is>
          <t>SEC-008</t>
        </is>
      </c>
      <c r="B23" s="40" t="inlineStr">
        <is>
          <t>[Mọi role] Browser security</t>
        </is>
      </c>
      <c r="C23" s="40" t="inlineStr">
        <is>
          <t>1. Request allowed/disallowed Origin
2. inspect headers/cookies</t>
        </is>
      </c>
      <c r="D23" s="133" t="inlineStr">
        <is>
          <t>CORS allowlist đúng; secure headers; token không lộ URL/log</t>
        </is>
      </c>
      <c r="E23" s="133" t="inlineStr">
        <is>
          <t>App deployed</t>
        </is>
      </c>
      <c r="F23" s="169" t="inlineStr">
        <is>
          <t>Pending</t>
        </is>
      </c>
      <c r="G23" s="170" t="n">
        <v>46229</v>
      </c>
      <c r="H23" s="39" t="inlineStr">
        <is>
          <t>Codex QA</t>
        </is>
      </c>
      <c r="I23" s="39" t="inlineStr">
        <is>
          <t>Pending</t>
        </is>
      </c>
      <c r="J23" s="39" t="n"/>
      <c r="K23" s="39" t="n"/>
      <c r="L23" s="39" t="inlineStr">
        <is>
          <t>Pending</t>
        </is>
      </c>
      <c r="M23" s="39" t="n"/>
      <c r="N23" s="39" t="n"/>
      <c r="O23" s="42" t="inlineStr">
        <is>
          <t>Test Data: origins
Priority: P1
Type: Security
ROUND 1 ACTUAL RESULT (26 Jul 2026): PENDING — Frontend unit tests, lint, and production build passed, but no Playwright/Cypress browser runner is configured for this end-to-end UI scenario.</t>
        </is>
      </c>
    </row>
    <row r="24" ht="22" customHeight="1">
      <c r="A24" s="157" t="inlineStr">
        <is>
          <t>Scenario: Upload</t>
        </is>
      </c>
      <c r="B24" s="158" t="n"/>
      <c r="C24" s="159" t="n"/>
      <c r="D24" s="159" t="n"/>
      <c r="E24" s="159" t="n"/>
      <c r="F24" s="159" t="n"/>
      <c r="G24" s="159" t="n"/>
      <c r="H24" s="159" t="n"/>
      <c r="I24" s="159" t="n"/>
      <c r="J24" s="159" t="n"/>
      <c r="K24" s="159" t="n"/>
      <c r="L24" s="159" t="n"/>
      <c r="M24" s="159" t="n"/>
      <c r="N24" s="159" t="n"/>
      <c r="O24" s="160" t="n"/>
    </row>
    <row r="25" ht="121.05" customHeight="1">
      <c r="A25" s="39" t="inlineStr">
        <is>
          <t>SEC-009</t>
        </is>
      </c>
      <c r="B25" s="40" t="inlineStr">
        <is>
          <t>[Student/Staff] Malicious file</t>
        </is>
      </c>
      <c r="C25" s="40" t="inlineStr">
        <is>
          <t>Double extension, MIME spoof, huge, traversal filename</t>
        </is>
      </c>
      <c r="D25" s="133" t="inlineStr">
        <is>
          <t>Reject; random safe filename; no code execution/path escape</t>
        </is>
      </c>
      <c r="E25" s="133" t="inlineStr">
        <is>
          <t>Logged in</t>
        </is>
      </c>
      <c r="F25" s="169" t="inlineStr">
        <is>
          <t>Pending</t>
        </is>
      </c>
      <c r="G25" s="170" t="n">
        <v>46229</v>
      </c>
      <c r="H25" s="39" t="inlineStr">
        <is>
          <t>Codex QA</t>
        </is>
      </c>
      <c r="I25" s="39" t="inlineStr">
        <is>
          <t>Pending</t>
        </is>
      </c>
      <c r="J25" s="39" t="n"/>
      <c r="K25" s="39" t="n"/>
      <c r="L25" s="39" t="inlineStr">
        <is>
          <t>Pending</t>
        </is>
      </c>
      <c r="M25" s="39" t="n"/>
      <c r="N25" s="39" t="n"/>
      <c r="O25" s="42" t="inlineStr">
        <is>
          <t>Test Data: `FILE-BAD`
Priority: P0
Type: Security
ROUND 1 ACTUAL RESULT (26 Jul 2026): PENDING — This security/database/recovery scenario requires a running full stack, MySQL, multiple role accounts, or a dedicated security/performance tool. Docker is not installed.</t>
        </is>
      </c>
    </row>
    <row r="26" ht="22" customHeight="1">
      <c r="A26" s="157" t="inlineStr">
        <is>
          <t>Scenario: Error</t>
        </is>
      </c>
      <c r="B26" s="158" t="n"/>
      <c r="C26" s="159" t="n"/>
      <c r="D26" s="159" t="n"/>
      <c r="E26" s="159" t="n"/>
      <c r="F26" s="159" t="n"/>
      <c r="G26" s="159" t="n"/>
      <c r="H26" s="159" t="n"/>
      <c r="I26" s="159" t="n"/>
      <c r="J26" s="159" t="n"/>
      <c r="K26" s="159" t="n"/>
      <c r="L26" s="159" t="n"/>
      <c r="M26" s="159" t="n"/>
      <c r="N26" s="159" t="n"/>
      <c r="O26" s="160" t="n"/>
    </row>
    <row r="27" ht="121.05" customHeight="1">
      <c r="A27" s="39" t="inlineStr">
        <is>
          <t>SEC-010</t>
        </is>
      </c>
      <c r="B27" s="40" t="inlineStr">
        <is>
          <t>[Mọi role] 400/401/403/404/409/422/500</t>
        </is>
      </c>
      <c r="C27" s="40" t="inlineStr">
        <is>
          <t>Trigger each error from UI/API</t>
        </is>
      </c>
      <c r="D27" s="133" t="inlineStr">
        <is>
          <t>Status/message/data chuẩn; no stack/SQL/secrets; UI recoverable</t>
        </is>
      </c>
      <c r="E27" s="133" t="inlineStr">
        <is>
          <t>Fault injection</t>
        </is>
      </c>
      <c r="F27" s="169" t="inlineStr">
        <is>
          <t>Pending</t>
        </is>
      </c>
      <c r="G27" s="170" t="n">
        <v>46229</v>
      </c>
      <c r="H27" s="39" t="inlineStr">
        <is>
          <t>Codex QA</t>
        </is>
      </c>
      <c r="I27" s="39" t="inlineStr">
        <is>
          <t>Pending</t>
        </is>
      </c>
      <c r="J27" s="39" t="n"/>
      <c r="K27" s="39" t="n"/>
      <c r="L27" s="39" t="inlineStr">
        <is>
          <t>Pending</t>
        </is>
      </c>
      <c r="M27" s="39" t="n"/>
      <c r="N27" s="39" t="n"/>
      <c r="O27" s="42" t="inlineStr">
        <is>
          <t>Test Data: error fixtures
Priority: P0
Type: Integration, UI
ROUND 1 ACTUAL RESULT (26 Jul 2026): PARTIALLY EXECUTED — Integration tests passed representative 400, 401, 404, and 422 responses; the full 403/409/500 matrix remains.</t>
        </is>
      </c>
    </row>
    <row r="28" ht="22" customHeight="1">
      <c r="A28" s="157" t="inlineStr">
        <is>
          <t>Scenario: Database</t>
        </is>
      </c>
      <c r="B28" s="158" t="n"/>
      <c r="C28" s="159" t="n"/>
      <c r="D28" s="159" t="n"/>
      <c r="E28" s="159" t="n"/>
      <c r="F28" s="159" t="n"/>
      <c r="G28" s="159" t="n"/>
      <c r="H28" s="159" t="n"/>
      <c r="I28" s="159" t="n"/>
      <c r="J28" s="159" t="n"/>
      <c r="K28" s="159" t="n"/>
      <c r="L28" s="159" t="n"/>
      <c r="M28" s="159" t="n"/>
      <c r="N28" s="159" t="n"/>
      <c r="O28" s="160" t="n"/>
    </row>
    <row r="29" ht="121.05" customHeight="1">
      <c r="A29" s="39" t="inlineStr">
        <is>
          <t>SEC-011</t>
        </is>
      </c>
      <c r="B29" s="40" t="inlineStr">
        <is>
          <t>[System] Flyway clean install</t>
        </is>
      </c>
      <c r="C29" s="40" t="inlineStr">
        <is>
          <t>1. Start backend
2. inspect schema</t>
        </is>
      </c>
      <c r="D29" s="133" t="inlineStr">
        <is>
          <t>28 tables + 1 view; checks/index/FK; Hibernate validate passes</t>
        </is>
      </c>
      <c r="E29" s="133" t="inlineStr">
        <is>
          <t>Empty MySQL 8.4</t>
        </is>
      </c>
      <c r="F29" s="169" t="inlineStr">
        <is>
          <t>Pending</t>
        </is>
      </c>
      <c r="G29" s="170" t="n">
        <v>46229</v>
      </c>
      <c r="H29" s="39" t="inlineStr">
        <is>
          <t>Codex QA</t>
        </is>
      </c>
      <c r="I29" s="39" t="inlineStr">
        <is>
          <t>Pending</t>
        </is>
      </c>
      <c r="J29" s="39" t="n"/>
      <c r="K29" s="39" t="n"/>
      <c r="L29" s="39" t="inlineStr">
        <is>
          <t>Pending</t>
        </is>
      </c>
      <c r="M29" s="39" t="n"/>
      <c r="N29" s="39" t="n"/>
      <c r="O29" s="42" t="inlineStr">
        <is>
          <t>Test Data: migrations V1..V32
Priority: P0
Type: Smoke, Database
ROUND 1 ACTUAL RESULT (26 Jul 2026): PENDING — This security/database/recovery scenario requires a running full stack, MySQL, multiple role accounts, or a dedicated security/performance tool. Docker is not installed.</t>
        </is>
      </c>
    </row>
    <row r="30" ht="121.05" customHeight="1">
      <c r="A30" s="39" t="inlineStr">
        <is>
          <t>SEC-012</t>
        </is>
      </c>
      <c r="B30" s="40" t="inlineStr">
        <is>
          <t>[System] Charset/timezone</t>
        </is>
      </c>
      <c r="C30" s="40" t="inlineStr">
        <is>
          <t>1. Store `JP-TEXT`
2. compare timestamps</t>
        </is>
      </c>
      <c r="D30" s="133" t="inlineStr">
        <is>
          <t>utf8mb4 round-trip; UTC timestamps consistent</t>
        </is>
      </c>
      <c r="E30" s="133" t="inlineStr">
        <is>
          <t>Migrated DB</t>
        </is>
      </c>
      <c r="F30" s="169" t="inlineStr">
        <is>
          <t>Pending</t>
        </is>
      </c>
      <c r="G30" s="170" t="n">
        <v>46229</v>
      </c>
      <c r="H30" s="39" t="inlineStr">
        <is>
          <t>Codex QA</t>
        </is>
      </c>
      <c r="I30" s="39" t="inlineStr">
        <is>
          <t>Pending</t>
        </is>
      </c>
      <c r="J30" s="39" t="n"/>
      <c r="K30" s="39" t="n"/>
      <c r="L30" s="39" t="inlineStr">
        <is>
          <t>Pending</t>
        </is>
      </c>
      <c r="M30" s="39" t="n"/>
      <c r="N30" s="39" t="n"/>
      <c r="O30" s="42" t="inlineStr">
        <is>
          <t>Test Data: Japanese/emoji
Priority: P0
Type: Database
ROUND 1 ACTUAL RESULT (26 Jul 2026): PENDING — This security/database/recovery scenario requires a running full stack, MySQL, multiple role accounts, or a dedicated security/performance tool. Docker is not installed.</t>
        </is>
      </c>
    </row>
    <row r="31" ht="121.05" customHeight="1">
      <c r="A31" s="39" t="inlineStr">
        <is>
          <t>SEC-013</t>
        </is>
      </c>
      <c r="B31" s="40" t="inlineStr">
        <is>
          <t>[System] Constraints</t>
        </is>
      </c>
      <c r="C31" s="40" t="inlineStr">
        <is>
          <t>Violate user email, topic unique, actor checks, sender checks, progress unique</t>
        </is>
      </c>
      <c r="D31" s="133" t="inlineStr">
        <is>
          <t>Constraint blocks; API maps to controlled error; transaction rollback</t>
        </is>
      </c>
      <c r="E31" s="133" t="inlineStr">
        <is>
          <t>Migrated DB</t>
        </is>
      </c>
      <c r="F31" s="169" t="inlineStr">
        <is>
          <t>Pending</t>
        </is>
      </c>
      <c r="G31" s="170" t="n">
        <v>46229</v>
      </c>
      <c r="H31" s="39" t="inlineStr">
        <is>
          <t>Codex QA</t>
        </is>
      </c>
      <c r="I31" s="39" t="inlineStr">
        <is>
          <t>Pending</t>
        </is>
      </c>
      <c r="J31" s="39" t="n"/>
      <c r="K31" s="39" t="n"/>
      <c r="L31" s="39" t="inlineStr">
        <is>
          <t>Pending</t>
        </is>
      </c>
      <c r="M31" s="39" t="n"/>
      <c r="N31" s="39" t="n"/>
      <c r="O31" s="42" t="inlineStr">
        <is>
          <t>Test Data: invalid SQL/API
Priority: P0
Type: Database, Negative
ROUND 1 ACTUAL RESULT (26 Jul 2026): PENDING — This security/database/recovery scenario requires a running full stack, MySQL, multiple role accounts, or a dedicated security/performance tool. Docker is not installed.</t>
        </is>
      </c>
    </row>
    <row r="32" ht="121.05" customHeight="1">
      <c r="A32" s="39" t="inlineStr">
        <is>
          <t>SEC-014</t>
        </is>
      </c>
      <c r="B32" s="40" t="inlineStr">
        <is>
          <t>[System] Soft delete/cascade</t>
        </is>
      </c>
      <c r="C32" s="40" t="inlineStr">
        <is>
          <t>1. Soft delete via API
2. verify relations
3. controlled hard-delete fixture</t>
        </is>
      </c>
      <c r="D32" s="133" t="inlineStr">
        <is>
          <t>Soft delete retains history; cascade only documented dependents</t>
        </is>
      </c>
      <c r="E32" s="133" t="inlineStr">
        <is>
          <t>Related fixture</t>
        </is>
      </c>
      <c r="F32" s="169" t="inlineStr">
        <is>
          <t>Pending</t>
        </is>
      </c>
      <c r="G32" s="170" t="n">
        <v>46229</v>
      </c>
      <c r="H32" s="39" t="inlineStr">
        <is>
          <t>Codex QA</t>
        </is>
      </c>
      <c r="I32" s="39" t="inlineStr">
        <is>
          <t>Pending</t>
        </is>
      </c>
      <c r="J32" s="39" t="n"/>
      <c r="K32" s="39" t="n"/>
      <c r="L32" s="39" t="inlineStr">
        <is>
          <t>Pending</t>
        </is>
      </c>
      <c r="M32" s="39" t="n"/>
      <c r="N32" s="39" t="n"/>
      <c r="O32" s="42" t="inlineStr">
        <is>
          <t>Test Data: entity graph
Priority: P0
Type: Database
ROUND 1 ACTUAL RESULT (26 Jul 2026): PARTIALLY EXECUTED — Admin and Manager service tests passed selected soft-delete/restore transitions; complete cascade and cross-entity database checks remain.</t>
        </is>
      </c>
    </row>
    <row r="33" ht="22" customHeight="1">
      <c r="A33" s="157" t="inlineStr">
        <is>
          <t>Scenario: Audit</t>
        </is>
      </c>
      <c r="B33" s="158" t="n"/>
      <c r="C33" s="159" t="n"/>
      <c r="D33" s="159" t="n"/>
      <c r="E33" s="159" t="n"/>
      <c r="F33" s="159" t="n"/>
      <c r="G33" s="159" t="n"/>
      <c r="H33" s="159" t="n"/>
      <c r="I33" s="159" t="n"/>
      <c r="J33" s="159" t="n"/>
      <c r="K33" s="159" t="n"/>
      <c r="L33" s="159" t="n"/>
      <c r="M33" s="159" t="n"/>
      <c r="N33" s="159" t="n"/>
      <c r="O33" s="160" t="n"/>
    </row>
    <row r="34" ht="121.05" customHeight="1">
      <c r="A34" s="39" t="inlineStr">
        <is>
          <t>SEC-015</t>
        </is>
      </c>
      <c r="B34" s="40" t="inlineStr">
        <is>
          <t>[Mọi role] Audit completeness</t>
        </is>
      </c>
      <c r="C34" s="40" t="inlineStr">
        <is>
          <t>Query audit rows</t>
        </is>
      </c>
      <c r="D34" s="133" t="inlineStr">
        <is>
          <t>Exactly one actor; action/target/time/IP meaningful; no secret payload</t>
        </is>
      </c>
      <c r="E34" s="133" t="inlineStr">
        <is>
          <t>Perform critical actions</t>
        </is>
      </c>
      <c r="F34" s="169" t="inlineStr">
        <is>
          <t>Pending</t>
        </is>
      </c>
      <c r="G34" s="170" t="n">
        <v>46229</v>
      </c>
      <c r="H34" s="39" t="inlineStr">
        <is>
          <t>Codex QA</t>
        </is>
      </c>
      <c r="I34" s="39" t="inlineStr">
        <is>
          <t>Pending</t>
        </is>
      </c>
      <c r="J34" s="39" t="n"/>
      <c r="K34" s="39" t="n"/>
      <c r="L34" s="39" t="inlineStr">
        <is>
          <t>Pending</t>
        </is>
      </c>
      <c r="M34" s="39" t="n"/>
      <c r="N34" s="39" t="n"/>
      <c r="O34" s="42" t="inlineStr">
        <is>
          <t>Test Data: action list
Priority: P0
Type: Database, Security
ROUND 1 ACTUAL RESULT (26 Jul 2026): PENDING — This security/database/recovery scenario requires a running full stack, MySQL, multiple role accounts, or a dedicated security/performance tool. Docker is not installed.</t>
        </is>
      </c>
    </row>
    <row r="35" ht="22" customHeight="1">
      <c r="A35" s="157" t="inlineStr">
        <is>
          <t>Scenario: Email</t>
        </is>
      </c>
      <c r="B35" s="158" t="n"/>
      <c r="C35" s="159" t="n"/>
      <c r="D35" s="159" t="n"/>
      <c r="E35" s="159" t="n"/>
      <c r="F35" s="159" t="n"/>
      <c r="G35" s="159" t="n"/>
      <c r="H35" s="159" t="n"/>
      <c r="I35" s="159" t="n"/>
      <c r="J35" s="159" t="n"/>
      <c r="K35" s="159" t="n"/>
      <c r="L35" s="159" t="n"/>
      <c r="M35" s="159" t="n"/>
      <c r="N35" s="159" t="n"/>
      <c r="O35" s="160" t="n"/>
    </row>
    <row r="36" ht="121.05" customHeight="1">
      <c r="A36" s="39" t="inlineStr">
        <is>
          <t>SEC-016</t>
        </is>
      </c>
      <c r="B36" s="40" t="inlineStr">
        <is>
          <t>[System] Retry/outbox</t>
        </is>
      </c>
      <c r="C36" s="40" t="inlineStr">
        <is>
          <t>1. Trigger email
2. fail retries
3. restore SMTP
4. retry worker</t>
        </is>
      </c>
      <c r="D36" s="133" t="inlineStr">
        <is>
          <t>Attempt count/error/status correct; eventual sent; no duplicate mail</t>
        </is>
      </c>
      <c r="E36" s="133" t="inlineStr">
        <is>
          <t>SMTP fails</t>
        </is>
      </c>
      <c r="F36" s="171" t="inlineStr">
        <is>
          <t>Passed</t>
        </is>
      </c>
      <c r="G36" s="170" t="n">
        <v>46229</v>
      </c>
      <c r="H36" s="39" t="inlineStr">
        <is>
          <t>Codex QA</t>
        </is>
      </c>
      <c r="I36" s="39" t="inlineStr">
        <is>
          <t>Pending</t>
        </is>
      </c>
      <c r="J36" s="39" t="n"/>
      <c r="K36" s="39" t="n"/>
      <c r="L36" s="39" t="inlineStr">
        <is>
          <t>Pending</t>
        </is>
      </c>
      <c r="M36" s="39" t="n"/>
      <c r="N36" s="39" t="n"/>
      <c r="O36" s="42" t="inlineStr">
        <is>
          <t>Test Data: failure fixture
Priority: P0
Type: Integration
ROUND 1 ACTUAL RESULT (26 Jul 2026): PASSED — EmailServiceTest passed retry, outbox, maximum-attempt, success, and persistent-failure scenarios.</t>
        </is>
      </c>
    </row>
    <row r="37" ht="22" customHeight="1">
      <c r="A37" s="157" t="inlineStr">
        <is>
          <t>Scenario: Concurrency</t>
        </is>
      </c>
      <c r="B37" s="158" t="n"/>
      <c r="C37" s="159" t="n"/>
      <c r="D37" s="159" t="n"/>
      <c r="E37" s="159" t="n"/>
      <c r="F37" s="159" t="n"/>
      <c r="G37" s="159" t="n"/>
      <c r="H37" s="159" t="n"/>
      <c r="I37" s="159" t="n"/>
      <c r="J37" s="159" t="n"/>
      <c r="K37" s="159" t="n"/>
      <c r="L37" s="159" t="n"/>
      <c r="M37" s="159" t="n"/>
      <c r="N37" s="159" t="n"/>
      <c r="O37" s="160" t="n"/>
    </row>
    <row r="38" ht="121.05" customHeight="1">
      <c r="A38" s="39" t="inlineStr">
        <is>
          <t>SEC-017</t>
        </is>
      </c>
      <c r="B38" s="40" t="inlineStr">
        <is>
          <t>[Mọi role] Optimistic/state race</t>
        </is>
      </c>
      <c r="C38" s="40" t="inlineStr">
        <is>
          <t>Concurrent review, grade, submit, suspend, settings batch</t>
        </is>
      </c>
      <c r="D38" s="133" t="inlineStr">
        <is>
          <t>One valid final state; conflicts explicit; no lost update/duplicate audit</t>
        </is>
      </c>
      <c r="E38" s="133" t="inlineStr">
        <is>
          <t>Two sessions</t>
        </is>
      </c>
      <c r="F38" s="169" t="inlineStr">
        <is>
          <t>Pending</t>
        </is>
      </c>
      <c r="G38" s="170" t="n">
        <v>46229</v>
      </c>
      <c r="H38" s="39" t="inlineStr">
        <is>
          <t>Codex QA</t>
        </is>
      </c>
      <c r="I38" s="39" t="inlineStr">
        <is>
          <t>Pending</t>
        </is>
      </c>
      <c r="J38" s="39" t="n"/>
      <c r="K38" s="39" t="n"/>
      <c r="L38" s="39" t="inlineStr">
        <is>
          <t>Pending</t>
        </is>
      </c>
      <c r="M38" s="39" t="n"/>
      <c r="N38" s="39" t="n"/>
      <c r="O38" s="42" t="inlineStr">
        <is>
          <t>Test Data: same target
Priority: P0
Type: Concurrent
ROUND 1 ACTUAL RESULT (26 Jul 2026): PARTIALLY EXECUTED — Mock Exam tests passed replay/state-transition rejection; true simultaneous request races were not executed.</t>
        </is>
      </c>
    </row>
    <row r="39" ht="22" customHeight="1">
      <c r="A39" s="157" t="inlineStr">
        <is>
          <t>Scenario: UI</t>
        </is>
      </c>
      <c r="B39" s="158" t="n"/>
      <c r="C39" s="159" t="n"/>
      <c r="D39" s="159" t="n"/>
      <c r="E39" s="159" t="n"/>
      <c r="F39" s="159" t="n"/>
      <c r="G39" s="159" t="n"/>
      <c r="H39" s="159" t="n"/>
      <c r="I39" s="159" t="n"/>
      <c r="J39" s="159" t="n"/>
      <c r="K39" s="159" t="n"/>
      <c r="L39" s="159" t="n"/>
      <c r="M39" s="159" t="n"/>
      <c r="N39" s="159" t="n"/>
      <c r="O39" s="160" t="n"/>
    </row>
    <row r="40" ht="121.05" customHeight="1">
      <c r="A40" s="39" t="inlineStr">
        <is>
          <t>SEC-018</t>
        </is>
      </c>
      <c r="B40" s="40" t="inlineStr">
        <is>
          <t>[Mọi role] Accessibility</t>
        </is>
      </c>
      <c r="C40" s="40" t="inlineStr">
        <is>
          <t>1. Keyboard navigation
2. labels
3. focus
4. contrast
5. modal trap
6. screen reader smoke</t>
        </is>
      </c>
      <c r="D40" s="133" t="inlineStr">
        <is>
          <t>No critical WCAG A/AA issue; error linked to field; focus restored</t>
        </is>
      </c>
      <c r="E40" s="133" t="inlineStr">
        <is>
          <t>Pages loaded</t>
        </is>
      </c>
      <c r="F40" s="169" t="inlineStr">
        <is>
          <t>Pending</t>
        </is>
      </c>
      <c r="G40" s="170" t="n">
        <v>46229</v>
      </c>
      <c r="H40" s="39" t="inlineStr">
        <is>
          <t>Codex QA</t>
        </is>
      </c>
      <c r="I40" s="39" t="inlineStr">
        <is>
          <t>Pending</t>
        </is>
      </c>
      <c r="J40" s="39" t="n"/>
      <c r="K40" s="39" t="n"/>
      <c r="L40" s="39" t="inlineStr">
        <is>
          <t>Pending</t>
        </is>
      </c>
      <c r="M40" s="39" t="n"/>
      <c r="N40" s="39" t="n"/>
      <c r="O40" s="42" t="inlineStr">
        <is>
          <t>Test Data: axe scan
Priority: P2
Type: UI, Regression
ROUND 1 ACTUAL RESULT (26 Jul 2026): PENDING — Frontend unit tests, lint, and production build passed, but no Playwright/Cypress browser runner is configured for this end-to-end UI scenario.</t>
        </is>
      </c>
    </row>
    <row r="41" ht="121.05" customHeight="1">
      <c r="A41" s="39" t="inlineStr">
        <is>
          <t>SEC-019</t>
        </is>
      </c>
      <c r="B41" s="40" t="inlineStr">
        <is>
          <t>[Mọi role] Responsive/browser</t>
        </is>
      </c>
      <c r="C41" s="40" t="inlineStr">
        <is>
          <t>Run critical flows on 3 browsers and 360/768/1440 widths</t>
        </is>
      </c>
      <c r="D41" s="133" t="inlineStr">
        <is>
          <t>No clipping/blocking; menus/forms/tables usable</t>
        </is>
      </c>
      <c r="E41" s="133" t="inlineStr">
        <is>
          <t>Test environments</t>
        </is>
      </c>
      <c r="F41" s="169" t="inlineStr">
        <is>
          <t>Pending</t>
        </is>
      </c>
      <c r="G41" s="170" t="n">
        <v>46229</v>
      </c>
      <c r="H41" s="39" t="inlineStr">
        <is>
          <t>Codex QA</t>
        </is>
      </c>
      <c r="I41" s="39" t="inlineStr">
        <is>
          <t>Pending</t>
        </is>
      </c>
      <c r="J41" s="39" t="n"/>
      <c r="K41" s="39" t="n"/>
      <c r="L41" s="39" t="inlineStr">
        <is>
          <t>Pending</t>
        </is>
      </c>
      <c r="M41" s="39" t="n"/>
      <c r="N41" s="39" t="n"/>
      <c r="O41" s="42" t="inlineStr">
        <is>
          <t>Test Data: viewports
Priority: P2
Type: Regression
ROUND 1 ACTUAL RESULT (26 Jul 2026): PENDING — Frontend unit tests, lint, and production build passed, but no Playwright/Cypress browser runner is configured for this end-to-end UI scenario.</t>
        </is>
      </c>
    </row>
    <row r="42" ht="22" customHeight="1">
      <c r="A42" s="157" t="inlineStr">
        <is>
          <t>Scenario: Reliability</t>
        </is>
      </c>
      <c r="B42" s="158" t="n"/>
      <c r="C42" s="159" t="n"/>
      <c r="D42" s="159" t="n"/>
      <c r="E42" s="159" t="n"/>
      <c r="F42" s="159" t="n"/>
      <c r="G42" s="159" t="n"/>
      <c r="H42" s="159" t="n"/>
      <c r="I42" s="159" t="n"/>
      <c r="J42" s="159" t="n"/>
      <c r="K42" s="159" t="n"/>
      <c r="L42" s="159" t="n"/>
      <c r="M42" s="159" t="n"/>
      <c r="N42" s="159" t="n"/>
      <c r="O42" s="160" t="n"/>
    </row>
    <row r="43" ht="121.05" customHeight="1">
      <c r="A43" s="39" t="inlineStr">
        <is>
          <t>SEC-020</t>
        </is>
      </c>
      <c r="B43" s="40" t="inlineStr">
        <is>
          <t>[System] Restart/recovery</t>
        </is>
      </c>
      <c r="C43" s="40" t="inlineStr">
        <is>
          <t>Restart backend during pending state</t>
        </is>
      </c>
      <c r="D43" s="133" t="inlineStr">
        <is>
          <t>DB state retained; no corrupt/duplicate processing; app health recovers</t>
        </is>
      </c>
      <c r="E43" s="133" t="inlineStr">
        <is>
          <t>Running jobs/submissions/outbox</t>
        </is>
      </c>
      <c r="F43" s="169" t="inlineStr">
        <is>
          <t>Pending</t>
        </is>
      </c>
      <c r="G43" s="170" t="n">
        <v>46229</v>
      </c>
      <c r="H43" s="39" t="inlineStr">
        <is>
          <t>Codex QA</t>
        </is>
      </c>
      <c r="I43" s="39" t="inlineStr">
        <is>
          <t>Pending</t>
        </is>
      </c>
      <c r="J43" s="39" t="n"/>
      <c r="K43" s="39" t="n"/>
      <c r="L43" s="39" t="inlineStr">
        <is>
          <t>Pending</t>
        </is>
      </c>
      <c r="M43" s="39" t="n"/>
      <c r="N43" s="39" t="n"/>
      <c r="O43" s="42" t="inlineStr">
        <is>
          <t>Test Data: pending records
Priority: P1
Type: Reliability
ROUND 1 ACTUAL RESULT (26 Jul 2026): PENDING — This security/database/recovery scenario requires a running full stack, MySQL, multiple role accounts, or a dedicated security/performance tool. Docker is not installed.</t>
        </is>
      </c>
    </row>
    <row r="44" ht="22" customHeight="1">
      <c r="A44" s="157" t="inlineStr">
        <is>
          <t>Scenario: Performance</t>
        </is>
      </c>
      <c r="B44" s="158" t="n"/>
      <c r="C44" s="159" t="n"/>
      <c r="D44" s="159" t="n"/>
      <c r="E44" s="159" t="n"/>
      <c r="F44" s="159" t="n"/>
      <c r="G44" s="159" t="n"/>
      <c r="H44" s="159" t="n"/>
      <c r="I44" s="159" t="n"/>
      <c r="J44" s="159" t="n"/>
      <c r="K44" s="159" t="n"/>
      <c r="L44" s="159" t="n"/>
      <c r="M44" s="159" t="n"/>
      <c r="N44" s="159" t="n"/>
      <c r="O44" s="160" t="n"/>
    </row>
    <row r="45" ht="121.05" customHeight="1">
      <c r="A45" s="39" t="inlineStr">
        <is>
          <t>SEC-021</t>
        </is>
      </c>
      <c r="B45" s="40" t="inlineStr">
        <is>
          <t>[System] Basic SLA</t>
        </is>
      </c>
      <c r="C45" s="40" t="inlineStr">
        <is>
          <t>Measure login/list/search/submit/dashboard</t>
        </is>
      </c>
      <c r="D45" s="133" t="inlineStr">
        <is>
          <t>Meets agreed SLA; pagination prevents unbounded payload; no N+1 blocker</t>
        </is>
      </c>
      <c r="E45" s="133" t="inlineStr">
        <is>
          <t>Production-like dataset</t>
        </is>
      </c>
      <c r="F45" s="169" t="inlineStr">
        <is>
          <t>Pending</t>
        </is>
      </c>
      <c r="G45" s="170" t="n">
        <v>46229</v>
      </c>
      <c r="H45" s="39" t="inlineStr">
        <is>
          <t>Codex QA</t>
        </is>
      </c>
      <c r="I45" s="39" t="inlineStr">
        <is>
          <t>Pending</t>
        </is>
      </c>
      <c r="J45" s="39" t="n"/>
      <c r="K45" s="39" t="n"/>
      <c r="L45" s="39" t="inlineStr">
        <is>
          <t>Pending</t>
        </is>
      </c>
      <c r="M45" s="39" t="n"/>
      <c r="N45" s="39" t="n"/>
      <c r="O45" s="42" t="inlineStr">
        <is>
          <t>Test Data: p95 sample
Priority: P2
Type: Performance
ROUND 1 ACTUAL RESULT (26 Jul 2026): PENDING — This security/database/recovery scenario requires a running full stack, MySQL, multiple role accounts, or a dedicated security/performance tool. Docker is not installed.</t>
        </is>
      </c>
    </row>
    <row r="46" ht="22" customHeight="1">
      <c r="A46" s="157" t="inlineStr">
        <is>
          <t>Scenario: Privacy</t>
        </is>
      </c>
      <c r="B46" s="158" t="n"/>
      <c r="C46" s="159" t="n"/>
      <c r="D46" s="159" t="n"/>
      <c r="E46" s="159" t="n"/>
      <c r="F46" s="159" t="n"/>
      <c r="G46" s="159" t="n"/>
      <c r="H46" s="159" t="n"/>
      <c r="I46" s="159" t="n"/>
      <c r="J46" s="159" t="n"/>
      <c r="K46" s="159" t="n"/>
      <c r="L46" s="159" t="n"/>
      <c r="M46" s="159" t="n"/>
      <c r="N46" s="159" t="n"/>
      <c r="O46" s="160" t="n"/>
    </row>
    <row r="47" ht="121.05" customHeight="1">
      <c r="A47" s="39" t="inlineStr">
        <is>
          <t>SEC-022</t>
        </is>
      </c>
      <c r="B47" s="40" t="inlineStr">
        <is>
          <t>[Mọi role] Logs/response</t>
        </is>
      </c>
      <c r="C47" s="40" t="inlineStr">
        <is>
          <t>1. Execute auth/upload/error flows
2. inspect logs/network</t>
        </is>
      </c>
      <c r="D47" s="133" t="inlineStr">
        <is>
          <t>No password, OTP, full token, SMTP secret or stack trace exposed</t>
        </is>
      </c>
      <c r="E47" s="133" t="inlineStr">
        <is>
          <t>Logging enabled</t>
        </is>
      </c>
      <c r="F47" s="169" t="inlineStr">
        <is>
          <t>Pending</t>
        </is>
      </c>
      <c r="G47" s="170" t="n">
        <v>46229</v>
      </c>
      <c r="H47" s="39" t="inlineStr">
        <is>
          <t>Codex QA</t>
        </is>
      </c>
      <c r="I47" s="39" t="inlineStr">
        <is>
          <t>Pending</t>
        </is>
      </c>
      <c r="J47" s="39" t="n"/>
      <c r="K47" s="39" t="n"/>
      <c r="L47" s="39" t="inlineStr">
        <is>
          <t>Pending</t>
        </is>
      </c>
      <c r="M47" s="39" t="n"/>
      <c r="N47" s="39" t="n"/>
      <c r="O47" s="42" t="inlineStr">
        <is>
          <t>Test Data: secrets/tokens
Priority: P0
Type: Security
ROUND 1 ACTUAL RESULT (26 Jul 2026): PARTIALLY EXECUTED — Automated tests verified safe error responses for selected paths; full log redaction and stack-trace inspection remain.</t>
        </is>
      </c>
    </row>
  </sheetData>
  <autoFilter ref="A10:O47"/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tToWidth="1" firstPageNumber="0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4" customWidth="1" min="3" max="3"/>
    <col width="34" customWidth="1" min="4" max="4"/>
    <col width="54" customWidth="1" min="5" max="5"/>
  </cols>
  <sheetData>
    <row r="1" ht="30" customHeight="1">
      <c r="A1" s="161" t="inlineStr">
        <is>
          <t>REQUIREMENT TRACEABILITY MATRIX</t>
        </is>
      </c>
    </row>
    <row r="3">
      <c r="A3" s="162" t="inlineStr">
        <is>
          <t>Requirement</t>
        </is>
      </c>
      <c r="B3" s="162" t="inlineStr">
        <is>
          <t>Feature</t>
        </is>
      </c>
      <c r="C3" s="162" t="inlineStr">
        <is>
          <t>Role</t>
        </is>
      </c>
      <c r="D3" s="162" t="inlineStr">
        <is>
          <t>Test Case</t>
        </is>
      </c>
      <c r="E3" s="162" t="inlineStr">
        <is>
          <t>Implementation Status</t>
        </is>
      </c>
    </row>
    <row r="4" ht="36" customHeight="1">
      <c r="A4" s="163" t="inlineStr">
        <is>
          <t>UC-01</t>
        </is>
      </c>
      <c r="B4" s="163" t="inlineStr">
        <is>
          <t>User Login (kể cả Google OAuth)</t>
        </is>
      </c>
      <c r="C4" s="163" t="inlineStr">
        <is>
          <t>Student (+ mọi role dùng chung cơ chế login)</t>
        </is>
      </c>
      <c r="D4" s="163" t="inlineStr">
        <is>
          <t>AUTH-007–AUTH-009, AUTH-015, AUTH-016</t>
        </is>
      </c>
      <c r="E4" s="163" t="inlineStr">
        <is>
          <t>✅ Implemented</t>
        </is>
      </c>
    </row>
    <row r="5" ht="36" customHeight="1">
      <c r="A5" s="164" t="inlineStr">
        <is>
          <t>UC-02</t>
        </is>
      </c>
      <c r="B5" s="164" t="inlineStr">
        <is>
          <t>User Register</t>
        </is>
      </c>
      <c r="C5" s="164" t="inlineStr">
        <is>
          <t>Khách</t>
        </is>
      </c>
      <c r="D5" s="164" t="inlineStr">
        <is>
          <t>AUTH-002–AUTH-004</t>
        </is>
      </c>
      <c r="E5" s="164" t="inlineStr">
        <is>
          <t>✅ Implemented</t>
        </is>
      </c>
    </row>
    <row r="6" ht="36" customHeight="1">
      <c r="A6" s="163" t="inlineStr">
        <is>
          <t>UC-03</t>
        </is>
      </c>
      <c r="B6" s="163" t="inlineStr">
        <is>
          <t>Reset Password</t>
        </is>
      </c>
      <c r="C6" s="163" t="inlineStr">
        <is>
          <t>Khách/Student</t>
        </is>
      </c>
      <c r="D6" s="163" t="inlineStr">
        <is>
          <t>AUTH-013, AUTH-014</t>
        </is>
      </c>
      <c r="E6" s="163" t="inlineStr">
        <is>
          <t>✅ Implemented</t>
        </is>
      </c>
    </row>
    <row r="7" ht="36" customHeight="1">
      <c r="A7" s="164" t="inlineStr">
        <is>
          <t>UC-04</t>
        </is>
      </c>
      <c r="B7" s="164" t="inlineStr">
        <is>
          <t>User Profile</t>
        </is>
      </c>
      <c r="C7" s="164" t="inlineStr">
        <is>
          <t>Student</t>
        </is>
      </c>
      <c r="D7" s="164" t="inlineStr">
        <is>
          <t>STU-004, STU-005</t>
        </is>
      </c>
      <c r="E7" s="164" t="inlineStr">
        <is>
          <t>✅ Implemented</t>
        </is>
      </c>
    </row>
    <row r="8" ht="36" customHeight="1">
      <c r="A8" s="163" t="inlineStr">
        <is>
          <t>UC-05</t>
        </is>
      </c>
      <c r="B8" s="163" t="inlineStr">
        <is>
          <t>Change Password</t>
        </is>
      </c>
      <c r="C8" s="163" t="inlineStr">
        <is>
          <t>Student</t>
        </is>
      </c>
      <c r="D8" s="163" t="inlineStr">
        <is>
          <t>STU-006</t>
        </is>
      </c>
      <c r="E8" s="163" t="inlineStr">
        <is>
          <t>✅ Implemented</t>
        </is>
      </c>
    </row>
    <row r="9" ht="36" customHeight="1">
      <c r="A9" s="164" t="inlineStr">
        <is>
          <t>UC-06</t>
        </is>
      </c>
      <c r="B9" s="164" t="inlineStr">
        <is>
          <t>Learn Grammar</t>
        </is>
      </c>
      <c r="C9" s="164" t="inlineStr">
        <is>
          <t>Student</t>
        </is>
      </c>
      <c r="D9" s="164" t="inlineStr">
        <is>
          <t>STU-014</t>
        </is>
      </c>
      <c r="E9" s="164" t="inlineStr">
        <is>
          <t>✅ Implemented</t>
        </is>
      </c>
    </row>
    <row r="10" ht="36" customHeight="1">
      <c r="A10" s="163" t="inlineStr">
        <is>
          <t>UC-07</t>
        </is>
      </c>
      <c r="B10" s="163" t="inlineStr">
        <is>
          <t>Learn Kanji</t>
        </is>
      </c>
      <c r="C10" s="163" t="inlineStr">
        <is>
          <t>Student</t>
        </is>
      </c>
      <c r="D10" s="163" t="inlineStr">
        <is>
          <t>STU-015</t>
        </is>
      </c>
      <c r="E10" s="163" t="inlineStr">
        <is>
          <t>✅ Implemented</t>
        </is>
      </c>
    </row>
    <row r="11" ht="36" customHeight="1">
      <c r="A11" s="164" t="inlineStr">
        <is>
          <t>UC-08</t>
        </is>
      </c>
      <c r="B11" s="164" t="inlineStr">
        <is>
          <t>Learn Kana</t>
        </is>
      </c>
      <c r="C11" s="164" t="inlineStr">
        <is>
          <t>Student</t>
        </is>
      </c>
      <c r="D11" s="164" t="inlineStr">
        <is>
          <t>STU-011</t>
        </is>
      </c>
      <c r="E11" s="164" t="inlineStr">
        <is>
          <t>✅ Implemented</t>
        </is>
      </c>
    </row>
    <row r="12" ht="36" customHeight="1">
      <c r="A12" s="163" t="inlineStr">
        <is>
          <t>UC-09</t>
        </is>
      </c>
      <c r="B12" s="163" t="inlineStr">
        <is>
          <t>Vocabulary</t>
        </is>
      </c>
      <c r="C12" s="163" t="inlineStr">
        <is>
          <t>Student</t>
        </is>
      </c>
      <c r="D12" s="163" t="inlineStr">
        <is>
          <t>STU-012, STU-013</t>
        </is>
      </c>
      <c r="E12" s="163" t="inlineStr">
        <is>
          <t>✅ Implemented</t>
        </is>
      </c>
    </row>
    <row r="13" ht="36" customHeight="1">
      <c r="A13" s="164" t="inlineStr">
        <is>
          <t>UC-10</t>
        </is>
      </c>
      <c r="B13" s="164" t="inlineStr">
        <is>
          <t>Take JLPT Mock Test</t>
        </is>
      </c>
      <c r="C13" s="164" t="inlineStr">
        <is>
          <t>Student</t>
        </is>
      </c>
      <c r="D13" s="164" t="inlineStr">
        <is>
          <t>STU-022–STU-024</t>
        </is>
      </c>
      <c r="E13" s="164" t="inlineStr">
        <is>
          <t>✅ Implemented</t>
        </is>
      </c>
    </row>
    <row r="14" ht="36" customHeight="1">
      <c r="A14" s="163" t="inlineStr">
        <is>
          <t>UC-11</t>
        </is>
      </c>
      <c r="B14" s="163" t="inlineStr">
        <is>
          <t>Practice &amp; Quiz</t>
        </is>
      </c>
      <c r="C14" s="163" t="inlineStr">
        <is>
          <t>Student</t>
        </is>
      </c>
      <c r="D14" s="163" t="inlineStr">
        <is>
          <t>STU-018–STU-021</t>
        </is>
      </c>
      <c r="E14" s="163" t="inlineStr">
        <is>
          <t>✅ Implemented</t>
        </is>
      </c>
    </row>
    <row r="15" ht="36" customHeight="1">
      <c r="A15" s="164" t="inlineStr">
        <is>
          <t>UC-12</t>
        </is>
      </c>
      <c r="B15" s="164" t="inlineStr">
        <is>
          <t>Flashcard Learning</t>
        </is>
      </c>
      <c r="C15" s="164" t="inlineStr">
        <is>
          <t>Student</t>
        </is>
      </c>
      <c r="D15" s="164" t="inlineStr">
        <is>
          <t>STU-025–STU-027</t>
        </is>
      </c>
      <c r="E15" s="164" t="inlineStr">
        <is>
          <t>✅ Implemented</t>
        </is>
      </c>
    </row>
    <row r="16" ht="36" customHeight="1">
      <c r="A16" s="163" t="inlineStr">
        <is>
          <t>UC-13</t>
        </is>
      </c>
      <c r="B16" s="163" t="inlineStr">
        <is>
          <t>Speaking Practice &amp; AI Grading</t>
        </is>
      </c>
      <c r="C16" s="163" t="inlineStr">
        <is>
          <t>Student/Staff</t>
        </is>
      </c>
      <c r="D16" s="163" t="inlineStr">
        <is>
          <t>STU-031–STU-033, STF-023, STF-024</t>
        </is>
      </c>
      <c r="E16" s="163" t="inlineStr">
        <is>
          <t>✅ Implemented (AI engine: contract-only, xem §1.3)</t>
        </is>
      </c>
    </row>
    <row r="17" ht="36" customHeight="1">
      <c r="A17" s="164" t="inlineStr">
        <is>
          <t>UC-14</t>
        </is>
      </c>
      <c r="B17" s="164" t="inlineStr">
        <is>
          <t>Reading Practice</t>
        </is>
      </c>
      <c r="C17" s="164" t="inlineStr">
        <is>
          <t>Student</t>
        </is>
      </c>
      <c r="D17" s="164" t="inlineStr">
        <is>
          <t>STU-039</t>
        </is>
      </c>
      <c r="E17" s="164" t="inlineStr">
        <is>
          <t>❌ **Gap — không có route/API luyện đọc độc lập trong code hiện tại**</t>
        </is>
      </c>
    </row>
    <row r="18" ht="36" customHeight="1">
      <c r="A18" s="163" t="inlineStr">
        <is>
          <t>UC-15</t>
        </is>
      </c>
      <c r="B18" s="163" t="inlineStr">
        <is>
          <t>Listening Practice</t>
        </is>
      </c>
      <c r="C18" s="163" t="inlineStr">
        <is>
          <t>Student</t>
        </is>
      </c>
      <c r="D18" s="163" t="inlineStr">
        <is>
          <t>STU-040</t>
        </is>
      </c>
      <c r="E18" s="163" t="inlineStr">
        <is>
          <t>❌ **Gap — không có route/API luyện nghe độc lập trong code hiện tại**</t>
        </is>
      </c>
    </row>
    <row r="19" ht="36" customHeight="1">
      <c r="A19" s="164" t="inlineStr">
        <is>
          <t>UC-16</t>
        </is>
      </c>
      <c r="B19" s="164" t="inlineStr">
        <is>
          <t>Dictionary &amp; Search</t>
        </is>
      </c>
      <c r="C19" s="164" t="inlineStr">
        <is>
          <t>Student</t>
        </is>
      </c>
      <c r="D19" s="164" t="inlineStr">
        <is>
          <t>STU-030</t>
        </is>
      </c>
      <c r="E19" s="164" t="inlineStr">
        <is>
          <t>✅ Implemented</t>
        </is>
      </c>
    </row>
    <row r="20" ht="36" customHeight="1">
      <c r="A20" s="163" t="inlineStr">
        <is>
          <t>UC-17</t>
        </is>
      </c>
      <c r="B20" s="163" t="inlineStr">
        <is>
          <t>Bookmark Learning</t>
        </is>
      </c>
      <c r="C20" s="163" t="inlineStr">
        <is>
          <t>Student</t>
        </is>
      </c>
      <c r="D20" s="163" t="inlineStr">
        <is>
          <t>STU-041</t>
        </is>
      </c>
      <c r="E20" s="163" t="inlineStr">
        <is>
          <t>❌ **Gap — không có `is_bookmarked`/API bookmark trong backend; Notebook (STU-028/029) chỉ là deck từ vựng, không phải bookmark đa loại nội dung**</t>
        </is>
      </c>
    </row>
    <row r="21" ht="36" customHeight="1">
      <c r="A21" s="164" t="inlineStr">
        <is>
          <t>UC-18</t>
        </is>
      </c>
      <c r="B21" s="164" t="inlineStr">
        <is>
          <t>Logout</t>
        </is>
      </c>
      <c r="C21" s="164" t="inlineStr">
        <is>
          <t>Mọi role</t>
        </is>
      </c>
      <c r="D21" s="164" t="inlineStr">
        <is>
          <t>AUTH-019</t>
        </is>
      </c>
      <c r="E21" s="164" t="inlineStr">
        <is>
          <t>✅ Implemented</t>
        </is>
      </c>
    </row>
    <row r="22" ht="36" customHeight="1">
      <c r="A22" s="163" t="inlineStr">
        <is>
          <t>UC-19</t>
        </is>
      </c>
      <c r="B22" s="163" t="inlineStr">
        <is>
          <t>Learning Progress &amp; Stats</t>
        </is>
      </c>
      <c r="C22" s="163" t="inlineStr">
        <is>
          <t>Student</t>
        </is>
      </c>
      <c r="D22" s="163" t="inlineStr">
        <is>
          <t>STU-003, STU-034</t>
        </is>
      </c>
      <c r="E22" s="163" t="inlineStr">
        <is>
          <t>✅ Implemented</t>
        </is>
      </c>
    </row>
    <row r="23" ht="36" customHeight="1">
      <c r="A23" s="164" t="inlineStr">
        <is>
          <t>UC-20</t>
        </is>
      </c>
      <c r="B23" s="164" t="inlineStr">
        <is>
          <t>AI Handwriting Practice</t>
        </is>
      </c>
      <c r="C23" s="164" t="inlineStr">
        <is>
          <t>Student</t>
        </is>
      </c>
      <c r="D23" s="164" t="inlineStr">
        <is>
          <t>STU-016, STU-017</t>
        </is>
      </c>
      <c r="E23" s="164" t="inlineStr">
        <is>
          <t>✅ Implemented (as-built: DTW stroke-matching, không phải OCR ảnh)</t>
        </is>
      </c>
    </row>
    <row r="24" ht="36" customHeight="1">
      <c r="A24" s="163" t="inlineStr">
        <is>
          <t>UC-21</t>
        </is>
      </c>
      <c r="B24" s="163" t="inlineStr">
        <is>
          <t>View Student Progress</t>
        </is>
      </c>
      <c r="C24" s="163" t="inlineStr">
        <is>
          <t>Staff</t>
        </is>
      </c>
      <c r="D24" s="163" t="inlineStr">
        <is>
          <t>STF-002</t>
        </is>
      </c>
      <c r="E24" s="163" t="inlineStr">
        <is>
          <t>✅ Implemented</t>
        </is>
      </c>
    </row>
    <row r="25" ht="36" customHeight="1">
      <c r="A25" s="164" t="inlineStr">
        <is>
          <t>UC-22</t>
        </is>
      </c>
      <c r="B25" s="164" t="inlineStr">
        <is>
          <t>Manage Student Accounts</t>
        </is>
      </c>
      <c r="C25" s="164" t="inlineStr">
        <is>
          <t>Staff</t>
        </is>
      </c>
      <c r="D25" s="164" t="inlineStr">
        <is>
          <t>STF-002</t>
        </is>
      </c>
      <c r="E25" s="164" t="inlineStr">
        <is>
          <t>✅ Implemented</t>
        </is>
      </c>
    </row>
    <row r="26" ht="36" customHeight="1">
      <c r="A26" s="163" t="inlineStr">
        <is>
          <t>UC-23</t>
        </is>
      </c>
      <c r="B26" s="163" t="inlineStr">
        <is>
          <t>Suspend or Activate Account</t>
        </is>
      </c>
      <c r="C26" s="163" t="inlineStr">
        <is>
          <t>Staff</t>
        </is>
      </c>
      <c r="D26" s="163" t="inlineStr">
        <is>
          <t>STF-003</t>
        </is>
      </c>
      <c r="E26" s="163" t="inlineStr">
        <is>
          <t>✅ Implemented</t>
        </is>
      </c>
    </row>
    <row r="27" ht="36" customHeight="1">
      <c r="A27" s="164" t="inlineStr">
        <is>
          <t>UC-24</t>
        </is>
      </c>
      <c r="B27" s="164" t="inlineStr">
        <is>
          <t>Manage Question Bank</t>
        </is>
      </c>
      <c r="C27" s="164" t="inlineStr">
        <is>
          <t>Staff</t>
        </is>
      </c>
      <c r="D27" s="164" t="inlineStr">
        <is>
          <t>STF-004–STF-007</t>
        </is>
      </c>
      <c r="E27" s="164" t="inlineStr">
        <is>
          <t>✅ Implemented</t>
        </is>
      </c>
    </row>
    <row r="28" ht="36" customHeight="1">
      <c r="A28" s="163" t="inlineStr">
        <is>
          <t>UC-25</t>
        </is>
      </c>
      <c r="B28" s="163" t="inlineStr">
        <is>
          <t>Manage Grammar Content</t>
        </is>
      </c>
      <c r="C28" s="163" t="inlineStr">
        <is>
          <t>Staff</t>
        </is>
      </c>
      <c r="D28" s="163" t="inlineStr">
        <is>
          <t>STF-008</t>
        </is>
      </c>
      <c r="E28" s="163" t="inlineStr">
        <is>
          <t>✅ Implemented</t>
        </is>
      </c>
    </row>
    <row r="29" ht="36" customHeight="1">
      <c r="A29" s="164" t="inlineStr">
        <is>
          <t>UC-26</t>
        </is>
      </c>
      <c r="B29" s="164" t="inlineStr">
        <is>
          <t>Manage Quiz</t>
        </is>
      </c>
      <c r="C29" s="164" t="inlineStr">
        <is>
          <t>Staff</t>
        </is>
      </c>
      <c r="D29" s="164" t="inlineStr">
        <is>
          <t>STF-014, STF-015</t>
        </is>
      </c>
      <c r="E29" s="164" t="inlineStr">
        <is>
          <t>✅ Implemented</t>
        </is>
      </c>
    </row>
    <row r="30" ht="36" customHeight="1">
      <c r="A30" s="163" t="inlineStr">
        <is>
          <t>UC-27</t>
        </is>
      </c>
      <c r="B30" s="163" t="inlineStr">
        <is>
          <t>Manage Learning Content</t>
        </is>
      </c>
      <c r="C30" s="163" t="inlineStr">
        <is>
          <t>Staff</t>
        </is>
      </c>
      <c r="D30" s="163" t="inlineStr">
        <is>
          <t>STF-009–STF-013</t>
        </is>
      </c>
      <c r="E30" s="163" t="inlineStr">
        <is>
          <t>✅ Implemented</t>
        </is>
      </c>
    </row>
    <row r="31" ht="36" customHeight="1">
      <c r="A31" s="164" t="inlineStr">
        <is>
          <t>UC-28</t>
        </is>
      </c>
      <c r="B31" s="164" t="inlineStr">
        <is>
          <t>Manage JLPT Mock Exams</t>
        </is>
      </c>
      <c r="C31" s="164" t="inlineStr">
        <is>
          <t>Staff</t>
        </is>
      </c>
      <c r="D31" s="164" t="inlineStr">
        <is>
          <t>STF-016, STF-017</t>
        </is>
      </c>
      <c r="E31" s="164" t="inlineStr">
        <is>
          <t>✅ Implemented</t>
        </is>
      </c>
    </row>
    <row r="32" ht="36" customHeight="1">
      <c r="A32" s="163" t="inlineStr">
        <is>
          <t>UC-29</t>
        </is>
      </c>
      <c r="B32" s="163" t="inlineStr">
        <is>
          <t>Respond to Student Support</t>
        </is>
      </c>
      <c r="C32" s="163" t="inlineStr">
        <is>
          <t>Staff (+ Student phía gửi ticket)</t>
        </is>
      </c>
      <c r="D32" s="163" t="inlineStr">
        <is>
          <t>STF-019, STF-020 (Student: STU-035, STU-036)</t>
        </is>
      </c>
      <c r="E32" s="163" t="inlineStr">
        <is>
          <t>✅ Implemented</t>
        </is>
      </c>
    </row>
    <row r="33" ht="36" customHeight="1">
      <c r="A33" s="164" t="inlineStr">
        <is>
          <t>UC-30</t>
        </is>
      </c>
      <c r="B33" s="164" t="inlineStr">
        <is>
          <t>Send Notifications</t>
        </is>
      </c>
      <c r="C33" s="164" t="inlineStr">
        <is>
          <t>Staff</t>
        </is>
      </c>
      <c r="D33" s="164" t="inlineStr">
        <is>
          <t>STF-021, STF-022</t>
        </is>
      </c>
      <c r="E33" s="164" t="inlineStr">
        <is>
          <t>✅ Implemented</t>
        </is>
      </c>
    </row>
    <row r="34" ht="36" customHeight="1">
      <c r="A34" s="163" t="inlineStr">
        <is>
          <t>UC-31</t>
        </is>
      </c>
      <c r="B34" s="163" t="inlineStr">
        <is>
          <t>Grade Speaking Submission</t>
        </is>
      </c>
      <c r="C34" s="163" t="inlineStr">
        <is>
          <t>Staff</t>
        </is>
      </c>
      <c r="D34" s="163" t="inlineStr">
        <is>
          <t>STF-023, STF-024</t>
        </is>
      </c>
      <c r="E34" s="163" t="inlineStr">
        <is>
          <t>✅ Implemented</t>
        </is>
      </c>
    </row>
    <row r="35" ht="36" customHeight="1">
      <c r="A35" s="164" t="inlineStr">
        <is>
          <t>UC-32</t>
        </is>
      </c>
      <c r="B35" s="164" t="inlineStr">
        <is>
          <t>View Quiz Results</t>
        </is>
      </c>
      <c r="C35" s="164" t="inlineStr">
        <is>
          <t>Staff</t>
        </is>
      </c>
      <c r="D35" s="164" t="inlineStr">
        <is>
          <t>STF-026</t>
        </is>
      </c>
      <c r="E35" s="164" t="inlineStr">
        <is>
          <t>⚠️ **Partial — không có màn hình/API thống kê kết quả theo từng quiz/đề thi; Staff chỉ xem được theo từng Student qua STF-002**</t>
        </is>
      </c>
    </row>
    <row r="36" ht="36" customHeight="1">
      <c r="A36" s="163" t="inlineStr">
        <is>
          <t>UC-33</t>
        </is>
      </c>
      <c r="B36" s="163" t="inlineStr">
        <is>
          <t>Review Submitted Content</t>
        </is>
      </c>
      <c r="C36" s="163" t="inlineStr">
        <is>
          <t>StaffManager</t>
        </is>
      </c>
      <c r="D36" s="163" t="inlineStr">
        <is>
          <t>MGR-002–MGR-007</t>
        </is>
      </c>
      <c r="E36" s="163" t="inlineStr">
        <is>
          <t>✅ Implemented</t>
        </is>
      </c>
    </row>
    <row r="37" ht="36" customHeight="1">
      <c r="A37" s="164" t="inlineStr">
        <is>
          <t>UC-34</t>
        </is>
      </c>
      <c r="B37" s="164" t="inlineStr">
        <is>
          <t>Manage Published Content Status</t>
        </is>
      </c>
      <c r="C37" s="164" t="inlineStr">
        <is>
          <t>StaffManager</t>
        </is>
      </c>
      <c r="D37" s="164" t="inlineStr">
        <is>
          <t>MGR-008–MGR-011</t>
        </is>
      </c>
      <c r="E37" s="164" t="inlineStr">
        <is>
          <t>✅ Implemented</t>
        </is>
      </c>
    </row>
    <row r="38" ht="36" customHeight="1">
      <c r="A38" s="163" t="inlineStr">
        <is>
          <t>UC-35</t>
        </is>
      </c>
      <c r="B38" s="163" t="inlineStr">
        <is>
          <t>Login System (Admin Panel)</t>
        </is>
      </c>
      <c r="C38" s="163" t="inlineStr">
        <is>
          <t>Admin</t>
        </is>
      </c>
      <c r="D38" s="163" t="inlineStr">
        <is>
          <t>AUTH-007, AUTH-009</t>
        </is>
      </c>
      <c r="E38" s="163" t="inlineStr">
        <is>
          <t>✅ Implemented</t>
        </is>
      </c>
    </row>
    <row r="39" ht="36" customHeight="1">
      <c r="A39" s="164" t="inlineStr">
        <is>
          <t>UC-36</t>
        </is>
      </c>
      <c r="B39" s="164" t="inlineStr">
        <is>
          <t>View Dashboard</t>
        </is>
      </c>
      <c r="C39" s="164" t="inlineStr">
        <is>
          <t>Admin</t>
        </is>
      </c>
      <c r="D39" s="164" t="inlineStr">
        <is>
          <t>ADM-001</t>
        </is>
      </c>
      <c r="E39" s="164" t="inlineStr">
        <is>
          <t>✅ Implemented</t>
        </is>
      </c>
    </row>
    <row r="40" ht="36" customHeight="1">
      <c r="A40" s="163" t="inlineStr">
        <is>
          <t>UC-37</t>
        </is>
      </c>
      <c r="B40" s="163" t="inlineStr">
        <is>
          <t>User Management</t>
        </is>
      </c>
      <c r="C40" s="163" t="inlineStr">
        <is>
          <t>Admin</t>
        </is>
      </c>
      <c r="D40" s="163" t="inlineStr">
        <is>
          <t>ADM-003–ADM-010</t>
        </is>
      </c>
      <c r="E40" s="163" t="inlineStr">
        <is>
          <t>✅ Implemented</t>
        </is>
      </c>
    </row>
    <row r="41" ht="36" customHeight="1">
      <c r="A41" s="164" t="inlineStr">
        <is>
          <t>UC-38</t>
        </is>
      </c>
      <c r="B41" s="164" t="inlineStr">
        <is>
          <t>Report Screen (báo cáo, thống kê, export PDF/CSV/Excel)</t>
        </is>
      </c>
      <c r="C41" s="164" t="inlineStr">
        <is>
          <t>Admin</t>
        </is>
      </c>
      <c r="D41" s="164" t="inlineStr">
        <is>
          <t>ADM-002, ADM-016</t>
        </is>
      </c>
      <c r="E41" s="164" t="inlineStr">
        <is>
          <t>⚠️ **Partial — `/admin/reports` hiện chỉ là Audit Log; không có export file hay biểu đồ tăng trưởng/hiệu suất như đặc tả mô tả**</t>
        </is>
      </c>
    </row>
    <row r="42" ht="36" customHeight="1">
      <c r="A42" s="163" t="inlineStr">
        <is>
          <t>UC-39</t>
        </is>
      </c>
      <c r="B42" s="163" t="inlineStr">
        <is>
          <t>Settings</t>
        </is>
      </c>
      <c r="C42" s="163" t="inlineStr">
        <is>
          <t>Admin</t>
        </is>
      </c>
      <c r="D42" s="163" t="inlineStr">
        <is>
          <t>ADM-011–ADM-013</t>
        </is>
      </c>
      <c r="E42" s="163" t="inlineStr">
        <is>
          <t>✅ Implemented</t>
        </is>
      </c>
    </row>
    <row r="43" ht="36" customHeight="1">
      <c r="A43" s="164" t="inlineStr">
        <is>
          <t>UC-40</t>
        </is>
      </c>
      <c r="B43" s="164" t="inlineStr">
        <is>
          <t>Notification Rules</t>
        </is>
      </c>
      <c r="C43" s="164" t="inlineStr">
        <is>
          <t>Admin</t>
        </is>
      </c>
      <c r="D43" s="164" t="inlineStr">
        <is>
          <t>ADM-014</t>
        </is>
      </c>
      <c r="E43" s="164" t="inlineStr">
        <is>
          <t>✅ Implemented</t>
        </is>
      </c>
    </row>
    <row r="44" ht="36" customHeight="1">
      <c r="A44" s="163" t="inlineStr">
        <is>
          <t>NFR-SEC</t>
        </is>
      </c>
      <c r="B44" s="163" t="inlineStr">
        <is>
          <t>Authentication/authorization/security</t>
        </is>
      </c>
      <c r="C44" s="163" t="inlineStr">
        <is>
          <t>Mọi role</t>
        </is>
      </c>
      <c r="D44" s="163" t="inlineStr">
        <is>
          <t>AUTH-021, SEC-001–SEC-010, SEC-022</t>
        </is>
      </c>
      <c r="E44" s="163" t="inlineStr">
        <is>
          <t>Covered</t>
        </is>
      </c>
    </row>
    <row r="45" ht="36" customHeight="1">
      <c r="A45" s="164" t="inlineStr">
        <is>
          <t>NFR-DATA</t>
        </is>
      </c>
      <c r="B45" s="164" t="inlineStr">
        <is>
          <t>Schema/integrity/audit</t>
        </is>
      </c>
      <c r="C45" s="164" t="inlineStr">
        <is>
          <t>System</t>
        </is>
      </c>
      <c r="D45" s="164" t="inlineStr">
        <is>
          <t>SEC-011–SEC-016</t>
        </is>
      </c>
      <c r="E45" s="164" t="inlineStr">
        <is>
          <t>Covered</t>
        </is>
      </c>
    </row>
    <row r="46" ht="36" customHeight="1">
      <c r="A46" s="163" t="inlineStr">
        <is>
          <t>NFR-REL</t>
        </is>
      </c>
      <c r="B46" s="163" t="inlineStr">
        <is>
          <t>Concurrency/recovery</t>
        </is>
      </c>
      <c r="C46" s="163" t="inlineStr">
        <is>
          <t>System</t>
        </is>
      </c>
      <c r="D46" s="163" t="inlineStr">
        <is>
          <t>SEC-017, SEC-020</t>
        </is>
      </c>
      <c r="E46" s="163" t="inlineStr">
        <is>
          <t>Covered</t>
        </is>
      </c>
    </row>
    <row r="47" ht="36" customHeight="1">
      <c r="A47" s="164" t="inlineStr">
        <is>
          <t>NFR-UI</t>
        </is>
      </c>
      <c r="B47" s="164" t="inlineStr">
        <is>
          <t>Accessibility/compatibility</t>
        </is>
      </c>
      <c r="C47" s="164" t="inlineStr">
        <is>
          <t>Mọi role</t>
        </is>
      </c>
      <c r="D47" s="164" t="inlineStr">
        <is>
          <t>SEC-018, SEC-019</t>
        </is>
      </c>
      <c r="E47" s="164" t="inlineStr">
        <is>
          <t>Covered</t>
        </is>
      </c>
    </row>
    <row r="48" ht="36" customHeight="1">
      <c r="A48" s="163" t="inlineStr">
        <is>
          <t>NFR-PERF</t>
        </is>
      </c>
      <c r="B48" s="163" t="inlineStr">
        <is>
          <t>Basic performance</t>
        </is>
      </c>
      <c r="C48" s="163" t="inlineStr">
        <is>
          <t>System</t>
        </is>
      </c>
      <c r="D48" s="163" t="inlineStr">
        <is>
          <t>SEC-021</t>
        </is>
      </c>
      <c r="E48" s="163" t="inlineStr">
        <is>
          <t>Covered</t>
        </is>
      </c>
    </row>
  </sheetData>
  <autoFilter ref="A3:E48"/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8" customWidth="1" min="3" max="3"/>
    <col width="70" customWidth="1" min="4" max="4"/>
  </cols>
  <sheetData>
    <row r="1" ht="30" customHeight="1">
      <c r="A1" s="161" t="inlineStr">
        <is>
          <t>TEST EXECUTION RESULTS — 26/07/2026</t>
        </is>
      </c>
    </row>
    <row r="3">
      <c r="A3" s="162" t="inlineStr">
        <is>
          <t>Item</t>
        </is>
      </c>
      <c r="B3" s="162" t="inlineStr">
        <is>
          <t>Command / Activity</t>
        </is>
      </c>
      <c r="C3" s="162" t="inlineStr">
        <is>
          <t>Status</t>
        </is>
      </c>
      <c r="D3" s="162" t="inlineStr">
        <is>
          <t>Evidence / Limitation</t>
        </is>
      </c>
    </row>
    <row r="4" ht="42" customHeight="1">
      <c r="A4" s="172" t="inlineStr">
        <is>
          <t>Backend automated tests</t>
        </is>
      </c>
      <c r="B4" s="172" t="inlineStr">
        <is>
          <t>mvn test</t>
        </is>
      </c>
      <c r="C4" s="172" t="inlineStr">
        <is>
          <t>Passed</t>
        </is>
      </c>
      <c r="D4" s="172" t="inlineStr">
        <is>
          <t>120 tests passed; 0 failures, 0 errors, 0 skipped. H2 integration profile used.</t>
        </is>
      </c>
    </row>
    <row r="5" ht="42" customHeight="1">
      <c r="A5" s="173" t="inlineStr">
        <is>
          <t>Backend package</t>
        </is>
      </c>
      <c r="B5" s="173" t="inlineStr">
        <is>
          <t>mvn package -DskipTests</t>
        </is>
      </c>
      <c r="C5" s="173" t="inlineStr">
        <is>
          <t>Passed</t>
        </is>
      </c>
      <c r="D5" s="173" t="inlineStr">
        <is>
          <t>Spring Boot JAR packaged successfully: target/jlpt-backend-2.0.0.jar.</t>
        </is>
      </c>
    </row>
    <row r="6" ht="42" customHeight="1">
      <c r="A6" s="172" t="inlineStr">
        <is>
          <t>Frontend automated tests</t>
        </is>
      </c>
      <c r="B6" s="172" t="inlineStr">
        <is>
          <t>npm.cmd run test</t>
        </is>
      </c>
      <c r="C6" s="172" t="inlineStr">
        <is>
          <t>Passed</t>
        </is>
      </c>
      <c r="D6" s="172" t="inlineStr">
        <is>
          <t>18 tests passed in 5 test files.</t>
        </is>
      </c>
    </row>
    <row r="7" ht="42" customHeight="1">
      <c r="A7" s="173" t="inlineStr">
        <is>
          <t>Frontend lint</t>
        </is>
      </c>
      <c r="B7" s="173" t="inlineStr">
        <is>
          <t>npm.cmd run lint</t>
        </is>
      </c>
      <c r="C7" s="173" t="inlineStr">
        <is>
          <t>Passed</t>
        </is>
      </c>
      <c r="D7" s="173" t="inlineStr">
        <is>
          <t>ESLint completed with 0 errors and 0 warnings.</t>
        </is>
      </c>
    </row>
    <row r="8" ht="42" customHeight="1">
      <c r="A8" s="172" t="inlineStr">
        <is>
          <t>Frontend production build</t>
        </is>
      </c>
      <c r="B8" s="172" t="inlineStr">
        <is>
          <t>npm.cmd run build</t>
        </is>
      </c>
      <c r="C8" s="172" t="inlineStr">
        <is>
          <t>Passed</t>
        </is>
      </c>
      <c r="D8" s="172" t="inlineStr">
        <is>
          <t>Vite production build succeeded; 384 modules transformed.</t>
        </is>
      </c>
    </row>
    <row r="9" ht="42" customHeight="1">
      <c r="A9" s="173" t="inlineStr">
        <is>
          <t>Full-stack Docker/MySQL</t>
        </is>
      </c>
      <c r="B9" s="173" t="inlineStr">
        <is>
          <t>docker compose up</t>
        </is>
      </c>
      <c r="C9" s="173" t="inlineStr">
        <is>
          <t>Blocked</t>
        </is>
      </c>
      <c r="D9" s="173" t="inlineStr">
        <is>
          <t>Docker executable is not installed in the execution environment.</t>
        </is>
      </c>
    </row>
    <row r="10" ht="42" customHeight="1">
      <c r="A10" s="172" t="inlineStr">
        <is>
          <t>Browser end-to-end suite</t>
        </is>
      </c>
      <c r="B10" s="172" t="inlineStr">
        <is>
          <t>Playwright/Cypress</t>
        </is>
      </c>
      <c r="C10" s="172" t="inlineStr">
        <is>
          <t>Not Executed</t>
        </is>
      </c>
      <c r="D10" s="172" t="inlineStr">
        <is>
          <t>No browser E2E runner or complete role-account fixture is configured.</t>
        </is>
      </c>
    </row>
    <row r="11" ht="42" customHeight="1">
      <c r="A11" s="173" t="inlineStr">
        <is>
          <t>External integrations</t>
        </is>
      </c>
      <c r="B11" s="173" t="inlineStr">
        <is>
          <t>Google OAuth / SMTP / real uploads</t>
        </is>
      </c>
      <c r="C11" s="173" t="inlineStr">
        <is>
          <t>Not Executed</t>
        </is>
      </c>
      <c r="D11" s="173" t="inlineStr">
        <is>
          <t>External credentials/providers were not exercised; mocked tests were used where available.</t>
        </is>
      </c>
    </row>
    <row r="12" ht="42" customHeight="1">
      <c r="A12" s="172" t="inlineStr">
        <is>
          <t>System Test Round 1</t>
        </is>
      </c>
      <c r="B12" s="172" t="inlineStr">
        <is>
          <t>142 workbook scenarios</t>
        </is>
      </c>
      <c r="C12" s="172" t="inlineStr">
        <is>
          <t>Partial</t>
        </is>
      </c>
      <c r="D12" s="172" t="inlineStr">
        <is>
          <t>11 passed with complete direct evidence; 131 pending full manual/full-stack execution; 0 failed.</t>
        </is>
      </c>
    </row>
    <row r="13" ht="42" customHeight="1">
      <c r="A13" s="173" t="inlineStr">
        <is>
          <t>Release assessment</t>
        </is>
      </c>
      <c r="B13" s="173" t="inlineStr">
        <is>
          <t>Entry/exit criteria review</t>
        </is>
      </c>
      <c r="C13" s="173" t="inlineStr">
        <is>
          <t>Not Ready</t>
        </is>
      </c>
      <c r="D13" s="173" t="inlineStr">
        <is>
          <t>System Test exit criteria are not met because browser, MySQL, external integration, and full permission-matrix execution remain pending.</t>
        </is>
      </c>
    </row>
    <row r="14" ht="36" customHeight="1"/>
  </sheetData>
  <autoFilter ref="A3:D13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</dc:creator>
  <dc:title xmlns:dc="http://purl.org/dc/elements/1.1/">Test case</dc:title>
  <dc:description xmlns:dc="http://purl.org/dc/elements/1.1/">Updates sheet Cover: Add logo, document code, creator, reviewer/approver._x000d_
Add sheet Test Case List._x000d_
Change Sheet Company, User, Provider to Modules. Add column Inter-test case dependent. Update these sheets._x000d_
Update Test Report</dc:description>
  <dc:subject xmlns:dc="http://purl.org/dc/elements/1.1/">v1/0</dc:subject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2026-07-26T16:36:21Z</dcterms:modified>
  <cp:lastModifiedBy>Kien</cp:lastModifiedBy>
  <cp:category>BM</cp:category>
  <cp:lastPrinted>2010-11-12T10:33:20Z</cp:lastPrinted>
</cp:coreProperties>
</file>