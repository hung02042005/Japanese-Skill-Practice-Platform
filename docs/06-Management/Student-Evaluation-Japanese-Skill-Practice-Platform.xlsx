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Params" sheetId="3" state="visible" r:id="rId3"/>
  </sheets>
  <definedNames>
    <definedName name="_xlnm._FilterDatabase" localSheetId="0" hidden="1">'LIST'!$A$1:$E$15</definedName>
    <definedName name="_xlnm._FilterDatabase" localSheetId="1" hidden="1">'Team'!$A$1:$C$5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-* #,##0.0_-;\-* #,##0.0_-;_-* &quot;-&quot;??_-;_-@_-"/>
    <numFmt numFmtId="166" formatCode="_-* #,##0.00_-;\-* #,##0.00_-;_-* &quot;-&quot;??_-;_-@_-"/>
    <numFmt numFmtId="167" formatCode="_(* #,##0.0_);_(* \(#,##0.0\);_(* &quot;-&quot;??_);_(@_)"/>
  </numFmts>
  <fonts count="21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i val="1"/>
      <color rgb="FF0070C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sz val="11"/>
      <scheme val="minor"/>
    </font>
    <font>
      <name val="Calibri"/>
      <family val="2"/>
      <b val="1"/>
      <i val="1"/>
      <color rgb="FF000000"/>
      <sz val="10"/>
      <scheme val="minor"/>
    </font>
    <font>
      <name val="Calibri"/>
      <family val="2"/>
      <i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7">
    <xf numFmtId="0" fontId="0" fillId="0" borderId="0"/>
    <xf numFmtId="41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43" fontId="8" fillId="0" borderId="0"/>
  </cellStyleXfs>
  <cellXfs count="123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top"/>
    </xf>
    <xf numFmtId="0" fontId="5" fillId="0" borderId="0" applyAlignment="1" pivotButton="0" quotePrefix="0" xfId="2">
      <alignment vertical="top"/>
    </xf>
    <xf numFmtId="0" fontId="5" fillId="0" borderId="0" applyAlignment="1" pivotButton="0" quotePrefix="0" xfId="2">
      <alignment horizontal="center" vertical="top"/>
    </xf>
    <xf numFmtId="0" fontId="2" fillId="0" borderId="1" applyAlignment="1" pivotButton="0" quotePrefix="0" xfId="0">
      <alignment vertical="top"/>
    </xf>
    <xf numFmtId="0" fontId="15" fillId="4" borderId="1" applyAlignment="1" pivotButton="0" quotePrefix="0" xfId="0">
      <alignment vertical="top"/>
    </xf>
    <xf numFmtId="164" fontId="15" fillId="0" borderId="1" applyAlignment="1" pivotButton="0" quotePrefix="0" xfId="0">
      <alignment horizontal="right" vertical="top" wrapText="1"/>
    </xf>
    <xf numFmtId="0" fontId="15" fillId="0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vertical="top"/>
    </xf>
    <xf numFmtId="164" fontId="15" fillId="5" borderId="1" applyAlignment="1" pivotButton="0" quotePrefix="0" xfId="0">
      <alignment horizontal="right" vertical="top" wrapText="1"/>
    </xf>
    <xf numFmtId="0" fontId="15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/>
    </xf>
    <xf numFmtId="0" fontId="16" fillId="0" borderId="1" applyAlignment="1" pivotButton="0" quotePrefix="0" xfId="2">
      <alignment horizontal="center" vertical="top"/>
    </xf>
    <xf numFmtId="0" fontId="16" fillId="0" borderId="1" applyAlignment="1" pivotButton="0" quotePrefix="0" xfId="2">
      <alignment vertical="top"/>
    </xf>
    <xf numFmtId="0" fontId="2" fillId="0" borderId="1" applyAlignment="1" pivotButton="0" quotePrefix="0" xfId="3">
      <alignment horizontal="left" vertical="top" wrapText="1"/>
    </xf>
    <xf numFmtId="0" fontId="18" fillId="2" borderId="1" applyAlignment="1" pivotButton="0" quotePrefix="0" xfId="2">
      <alignment vertical="top"/>
    </xf>
    <xf numFmtId="0" fontId="18" fillId="0" borderId="1" applyAlignment="1" pivotButton="0" quotePrefix="0" xfId="2">
      <alignment vertical="top"/>
    </xf>
    <xf numFmtId="0" fontId="17" fillId="6" borderId="1" applyAlignment="1" pivotButton="0" quotePrefix="0" xfId="2">
      <alignment vertical="top"/>
    </xf>
    <xf numFmtId="0" fontId="1" fillId="0" borderId="0" pivotButton="0" quotePrefix="0" xfId="5"/>
    <xf numFmtId="0" fontId="1" fillId="2" borderId="1" pivotButton="0" quotePrefix="0" xfId="5"/>
    <xf numFmtId="0" fontId="1" fillId="0" borderId="1" pivotButton="0" quotePrefix="0" xfId="5"/>
    <xf numFmtId="9" fontId="1" fillId="0" borderId="1" pivotButton="0" quotePrefix="0" xfId="5"/>
    <xf numFmtId="165" fontId="0" fillId="2" borderId="1" pivotButton="0" quotePrefix="0" xfId="6"/>
    <xf numFmtId="9" fontId="1" fillId="0" borderId="1" applyAlignment="1" pivotButton="0" quotePrefix="0" xfId="5">
      <alignment horizontal="center"/>
    </xf>
    <xf numFmtId="165" fontId="4" fillId="0" borderId="0" pivotButton="0" quotePrefix="0" xfId="5"/>
    <xf numFmtId="0" fontId="4" fillId="0" borderId="0" pivotButton="0" quotePrefix="0" xfId="5"/>
    <xf numFmtId="166" fontId="1" fillId="0" borderId="0" pivotButton="0" quotePrefix="0" xfId="5"/>
    <xf numFmtId="0" fontId="19" fillId="0" borderId="0" applyAlignment="1" pivotButton="0" quotePrefix="0" xfId="5">
      <alignment horizontal="left"/>
    </xf>
    <xf numFmtId="0" fontId="1" fillId="2" borderId="1" applyAlignment="1" pivotButton="0" quotePrefix="0" xfId="5">
      <alignment horizontal="right"/>
    </xf>
    <xf numFmtId="0" fontId="1" fillId="2" borderId="1" applyAlignment="1" pivotButton="0" quotePrefix="0" xfId="5">
      <alignment horizontal="center"/>
    </xf>
    <xf numFmtId="0" fontId="1" fillId="4" borderId="1" applyAlignment="1" pivotButton="0" quotePrefix="0" xfId="5">
      <alignment horizontal="center"/>
    </xf>
    <xf numFmtId="0" fontId="1" fillId="0" borderId="1" applyAlignment="1" pivotButton="0" quotePrefix="0" xfId="5">
      <alignment horizontal="center"/>
    </xf>
    <xf numFmtId="0" fontId="1" fillId="0" borderId="1" applyAlignment="1" pivotButton="0" quotePrefix="0" xfId="5">
      <alignment vertical="top"/>
    </xf>
    <xf numFmtId="0" fontId="1" fillId="0" borderId="1" applyAlignment="1" pivotButton="0" quotePrefix="1" xfId="5">
      <alignment horizontal="center" vertical="top"/>
    </xf>
    <xf numFmtId="0" fontId="1" fillId="0" borderId="1" applyAlignment="1" pivotButton="0" quotePrefix="0" xfId="5">
      <alignment horizontal="center" vertical="top"/>
    </xf>
    <xf numFmtId="0" fontId="1" fillId="0" borderId="0" applyAlignment="1" pivotButton="0" quotePrefix="0" xfId="5">
      <alignment horizontal="left"/>
    </xf>
    <xf numFmtId="0" fontId="1" fillId="0" borderId="1" applyAlignment="1" pivotButton="0" quotePrefix="1" xfId="5">
      <alignment horizontal="center" vertical="top"/>
    </xf>
    <xf numFmtId="0" fontId="1" fillId="0" borderId="0" applyAlignment="1" pivotButton="0" quotePrefix="1" xfId="5">
      <alignment horizontal="left"/>
    </xf>
    <xf numFmtId="0" fontId="1" fillId="0" borderId="0" applyAlignment="1" pivotButton="0" quotePrefix="1" xfId="5">
      <alignment horizontal="left"/>
    </xf>
    <xf numFmtId="0" fontId="1" fillId="0" borderId="1" applyAlignment="1" pivotButton="0" quotePrefix="0" xfId="5">
      <alignment horizontal="center" vertical="top"/>
    </xf>
    <xf numFmtId="0" fontId="1" fillId="0" borderId="1" applyAlignment="1" pivotButton="0" quotePrefix="0" xfId="5">
      <alignment horizontal="right"/>
    </xf>
    <xf numFmtId="0" fontId="1" fillId="0" borderId="1" applyAlignment="1" pivotButton="0" quotePrefix="1" xfId="5">
      <alignment horizontal="center"/>
    </xf>
    <xf numFmtId="16" fontId="1" fillId="0" borderId="1" applyAlignment="1" pivotButton="0" quotePrefix="1" xfId="5">
      <alignment horizontal="center"/>
    </xf>
    <xf numFmtId="0" fontId="1" fillId="2" borderId="1" applyAlignment="1" pivotButton="0" quotePrefix="0" xfId="5">
      <alignment horizontal="right" vertical="top"/>
    </xf>
    <xf numFmtId="9" fontId="1" fillId="0" borderId="1" applyAlignment="1" pivotButton="0" quotePrefix="0" xfId="5">
      <alignment vertical="top"/>
    </xf>
    <xf numFmtId="0" fontId="19" fillId="0" borderId="0" applyAlignment="1" pivotButton="0" quotePrefix="0" xfId="5">
      <alignment horizontal="left"/>
    </xf>
    <xf numFmtId="0" fontId="3" fillId="0" borderId="0" pivotButton="0" quotePrefix="0" xfId="5"/>
    <xf numFmtId="0" fontId="16" fillId="7" borderId="1" applyAlignment="1" pivotButton="0" quotePrefix="0" xfId="2">
      <alignment vertical="top"/>
    </xf>
    <xf numFmtId="0" fontId="1" fillId="0" borderId="1" applyAlignment="1" pivotButton="0" quotePrefix="0" xfId="3">
      <alignment horizontal="left" vertical="top" wrapText="1"/>
    </xf>
    <xf numFmtId="0" fontId="12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/>
    </xf>
    <xf numFmtId="0" fontId="0" fillId="0" borderId="1" pivotButton="0" quotePrefix="0" xfId="0"/>
    <xf numFmtId="0" fontId="1" fillId="0" borderId="1" pivotButton="0" quotePrefix="0" xfId="0"/>
    <xf numFmtId="164" fontId="15" fillId="4" borderId="1" applyAlignment="1" pivotButton="0" quotePrefix="0" xfId="0">
      <alignment horizontal="right" vertical="top" wrapText="1"/>
    </xf>
    <xf numFmtId="0" fontId="4" fillId="8" borderId="1" applyAlignment="1" pivotButton="0" quotePrefix="0" xfId="0">
      <alignment horizontal="center" vertical="top"/>
    </xf>
    <xf numFmtId="9" fontId="12" fillId="8" borderId="1" applyAlignment="1" pivotButton="0" quotePrefix="0" xfId="0">
      <alignment horizontal="center" vertical="top"/>
    </xf>
    <xf numFmtId="9" fontId="13" fillId="8" borderId="1" applyAlignment="1" pivotButton="0" quotePrefix="0" xfId="0">
      <alignment vertical="top"/>
    </xf>
    <xf numFmtId="9" fontId="14" fillId="8" borderId="1" applyAlignment="1" pivotButton="0" quotePrefix="0" xfId="0">
      <alignment vertical="top"/>
    </xf>
    <xf numFmtId="167" fontId="9" fillId="8" borderId="1" applyAlignment="1" pivotButton="0" quotePrefix="0" xfId="0">
      <alignment horizontal="center" vertical="top"/>
    </xf>
    <xf numFmtId="164" fontId="13" fillId="8" borderId="1" applyAlignment="1" pivotButton="0" quotePrefix="0" xfId="0">
      <alignment horizontal="center" vertical="top"/>
    </xf>
    <xf numFmtId="164" fontId="15" fillId="8" borderId="1" applyAlignment="1" pivotButton="0" quotePrefix="0" xfId="1">
      <alignment vertical="top"/>
    </xf>
    <xf numFmtId="0" fontId="15" fillId="4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/>
    </xf>
    <xf numFmtId="0" fontId="12" fillId="9" borderId="1" applyAlignment="1" pivotButton="0" quotePrefix="0" xfId="2">
      <alignment vertical="top"/>
    </xf>
    <xf numFmtId="0" fontId="4" fillId="9" borderId="1" applyAlignment="1" pivotButton="0" quotePrefix="0" xfId="0">
      <alignment horizontal="left" vertical="top"/>
    </xf>
    <xf numFmtId="0" fontId="3" fillId="9" borderId="1" applyAlignment="1" pivotButton="0" quotePrefix="0" xfId="5">
      <alignment horizontal="right"/>
    </xf>
    <xf numFmtId="0" fontId="3" fillId="9" borderId="1" pivotButton="0" quotePrefix="0" xfId="5"/>
    <xf numFmtId="0" fontId="3" fillId="9" borderId="1" applyAlignment="1" pivotButton="0" quotePrefix="0" xfId="5">
      <alignment horizontal="center" vertical="center" wrapText="1"/>
    </xf>
    <xf numFmtId="0" fontId="3" fillId="9" borderId="1" applyAlignment="1" pivotButton="0" quotePrefix="0" xfId="5">
      <alignment horizontal="left" vertical="center" wrapText="1"/>
    </xf>
    <xf numFmtId="0" fontId="4" fillId="9" borderId="1" applyAlignment="1" pivotButton="0" quotePrefix="0" xfId="5">
      <alignment horizontal="right"/>
    </xf>
    <xf numFmtId="0" fontId="4" fillId="9" borderId="2" pivotButton="0" quotePrefix="0" xfId="5"/>
    <xf numFmtId="0" fontId="4" fillId="9" borderId="3" pivotButton="0" quotePrefix="0" xfId="5"/>
    <xf numFmtId="0" fontId="1" fillId="2" borderId="5" pivotButton="0" quotePrefix="0" xfId="5"/>
    <xf numFmtId="0" fontId="1" fillId="2" borderId="7" pivotButton="0" quotePrefix="0" xfId="5"/>
    <xf numFmtId="0" fontId="1" fillId="2" borderId="8" pivotButton="0" quotePrefix="0" xfId="5"/>
    <xf numFmtId="9" fontId="1" fillId="0" borderId="8" applyAlignment="1" pivotButton="0" quotePrefix="0" xfId="5">
      <alignment horizontal="center"/>
    </xf>
    <xf numFmtId="0" fontId="4" fillId="0" borderId="0" applyAlignment="1" pivotButton="0" quotePrefix="0" xfId="5">
      <alignment horizontal="right"/>
    </xf>
    <xf numFmtId="0" fontId="1" fillId="0" borderId="1" applyAlignment="1" pivotButton="0" quotePrefix="0" xfId="5">
      <alignment horizontal="left"/>
    </xf>
    <xf numFmtId="0" fontId="1" fillId="0" borderId="6" applyAlignment="1" pivotButton="0" quotePrefix="0" xfId="5">
      <alignment horizontal="left"/>
    </xf>
    <xf numFmtId="0" fontId="4" fillId="9" borderId="3" applyAlignment="1" pivotButton="0" quotePrefix="0" xfId="5">
      <alignment horizontal="center"/>
    </xf>
    <xf numFmtId="0" fontId="4" fillId="9" borderId="3" applyAlignment="1" pivotButton="0" quotePrefix="0" xfId="5">
      <alignment horizontal="left"/>
    </xf>
    <xf numFmtId="0" fontId="4" fillId="9" borderId="4" applyAlignment="1" pivotButton="0" quotePrefix="0" xfId="5">
      <alignment horizontal="left"/>
    </xf>
    <xf numFmtId="0" fontId="1" fillId="0" borderId="1" applyAlignment="1" pivotButton="0" quotePrefix="0" xfId="5">
      <alignment horizontal="right" wrapText="1"/>
    </xf>
    <xf numFmtId="0" fontId="20" fillId="0" borderId="1" applyAlignment="1" pivotButton="0" quotePrefix="0" xfId="5">
      <alignment horizontal="center"/>
    </xf>
    <xf numFmtId="165" fontId="0" fillId="0" borderId="1" applyAlignment="1" pivotButton="0" quotePrefix="0" xfId="6">
      <alignment horizontal="left"/>
    </xf>
    <xf numFmtId="165" fontId="0" fillId="0" borderId="6" applyAlignment="1" pivotButton="0" quotePrefix="0" xfId="6">
      <alignment horizontal="left"/>
    </xf>
    <xf numFmtId="0" fontId="1" fillId="0" borderId="8" applyAlignment="1" pivotButton="0" quotePrefix="0" xfId="5">
      <alignment horizontal="left"/>
    </xf>
    <xf numFmtId="0" fontId="1" fillId="0" borderId="9" applyAlignment="1" pivotButton="0" quotePrefix="0" xfId="5">
      <alignment horizontal="left"/>
    </xf>
    <xf numFmtId="0" fontId="3" fillId="9" borderId="1" applyAlignment="1" pivotButton="0" quotePrefix="0" xfId="5">
      <alignment horizontal="left" vertical="top" wrapText="1"/>
    </xf>
    <xf numFmtId="0" fontId="1" fillId="0" borderId="1" applyAlignment="1" pivotButton="0" quotePrefix="0" xfId="5">
      <alignment horizontal="left" vertical="top"/>
    </xf>
    <xf numFmtId="0" fontId="3" fillId="9" borderId="1" applyAlignment="1" pivotButton="0" quotePrefix="0" xfId="5">
      <alignment horizontal="left"/>
    </xf>
    <xf numFmtId="0" fontId="1" fillId="0" borderId="1" applyAlignment="1" pivotButton="0" quotePrefix="0" xfId="5">
      <alignment horizontal="left" vertical="top" wrapText="1"/>
    </xf>
    <xf numFmtId="0" fontId="8" fillId="0" borderId="1" applyAlignment="1" pivotButton="0" quotePrefix="0" xfId="0">
      <alignment vertical="top"/>
    </xf>
    <xf numFmtId="0" fontId="8" fillId="0" borderId="1" pivotButton="0" quotePrefix="0" xfId="0"/>
    <xf numFmtId="167" fontId="9" fillId="8" borderId="1" applyAlignment="1" pivotButton="0" quotePrefix="0" xfId="0">
      <alignment horizontal="center" vertical="top"/>
    </xf>
    <xf numFmtId="164" fontId="13" fillId="8" borderId="1" applyAlignment="1" pivotButton="0" quotePrefix="0" xfId="0">
      <alignment horizontal="center" vertical="top"/>
    </xf>
    <xf numFmtId="164" fontId="15" fillId="0" borderId="1" applyAlignment="1" pivotButton="0" quotePrefix="0" xfId="0">
      <alignment horizontal="right" vertical="top" wrapText="1"/>
    </xf>
    <xf numFmtId="164" fontId="15" fillId="8" borderId="1" applyAlignment="1" pivotButton="0" quotePrefix="0" xfId="1">
      <alignment vertical="top"/>
    </xf>
    <xf numFmtId="164" fontId="15" fillId="4" borderId="1" applyAlignment="1" pivotButton="0" quotePrefix="0" xfId="0">
      <alignment horizontal="right" vertical="top" wrapText="1"/>
    </xf>
    <xf numFmtId="0" fontId="8" fillId="0" borderId="1" applyAlignment="1" pivotButton="0" quotePrefix="0" xfId="3">
      <alignment horizontal="left" vertical="top" wrapText="1"/>
    </xf>
    <xf numFmtId="0" fontId="16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vertical="top"/>
    </xf>
    <xf numFmtId="0" fontId="8" fillId="0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vertical="top"/>
    </xf>
    <xf numFmtId="0" fontId="18" fillId="0" borderId="1" applyAlignment="1" pivotButton="0" quotePrefix="0" xfId="0">
      <alignment vertical="top"/>
    </xf>
    <xf numFmtId="0" fontId="16" fillId="7" borderId="1" applyAlignment="1" pivotButton="0" quotePrefix="0" xfId="0">
      <alignment vertical="top"/>
    </xf>
    <xf numFmtId="0" fontId="0" fillId="0" borderId="21" pivotButton="0" quotePrefix="0" xfId="0"/>
    <xf numFmtId="0" fontId="0" fillId="0" borderId="22" pivotButton="0" quotePrefix="0" xfId="0"/>
    <xf numFmtId="0" fontId="0" fillId="0" borderId="12" pivotButton="0" quotePrefix="0" xfId="0"/>
    <xf numFmtId="0" fontId="0" fillId="0" borderId="13" pivotButton="0" quotePrefix="0" xfId="0"/>
    <xf numFmtId="165" fontId="0" fillId="2" borderId="1" pivotButton="0" quotePrefix="0" xfId="6"/>
    <xf numFmtId="165" fontId="0" fillId="0" borderId="1" applyAlignment="1" pivotButton="0" quotePrefix="0" xfId="6">
      <alignment horizontal="left"/>
    </xf>
    <xf numFmtId="0" fontId="0" fillId="0" borderId="17" pivotButton="0" quotePrefix="0" xfId="0"/>
    <xf numFmtId="0" fontId="0" fillId="0" borderId="18" pivotButton="0" quotePrefix="0" xfId="0"/>
    <xf numFmtId="165" fontId="4" fillId="0" borderId="0" pivotButton="0" quotePrefix="0" xfId="5"/>
    <xf numFmtId="166" fontId="1" fillId="0" borderId="0" pivotButton="0" quotePrefix="0" xfId="5"/>
    <xf numFmtId="0" fontId="0" fillId="0" borderId="16" pivotButton="0" quotePrefix="0" xfId="0"/>
  </cellXfs>
  <cellStyles count="7">
    <cellStyle name="Normal" xfId="0" builtinId="0"/>
    <cellStyle name="Comma [0]" xfId="1" builtinId="6"/>
    <cellStyle name="Normal 2" xfId="2"/>
    <cellStyle name="Normal 3" xfId="3"/>
    <cellStyle name="Normal 3 2" xfId="4"/>
    <cellStyle name="Normal 4" xfId="5"/>
    <cellStyle name="Comma 2" xfId="6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kiennt</author>
    <author>Microsoft Office User</author>
    <author>KienNT</author>
  </authors>
  <commentList>
    <comment ref="D1" authorId="0" shapeId="0">
      <text>
        <t>kiennt:
Group?</t>
      </text>
    </comment>
    <comment ref="E1" authorId="0" shapeId="0">
      <text>
        <t>kiennt:
Team Leader?</t>
      </text>
    </comment>
    <comment ref="G1" authorId="1" shapeId="0">
      <text>
        <t>KienNT:
Ongoing Grade</t>
      </text>
    </comment>
    <comment ref="I1" authorId="0" shapeId="0">
      <text>
        <t>kiennt:
Scope: &gt;= 15 pages, &gt;= 12 user cases, &gt;= 8 entities
Outputs:
1. Requirement Overview
- Context Diagram
- Main Business Processes (Workflow)
- Use Case Diagrams
- System Functionalities: 
  + Screen Flow
  + Screen Authorization
  + Non-UI Functions
- Entity Relatioship Diagram
- Stage Transition Diagrams
2. Functional Requirements
- Screen Mockups
- Screen-UC Mappings</t>
      </text>
    </comment>
    <comment ref="K1" authorId="0" shapeId="0">
      <text>
        <t>Scope: &gt;=10 tables
Outputs:
1. High Level Design
- Software Architecture
- Package Diagram
- Database Design
2. Detailed Design
- Stage Transition Diagrams
- POC: Class &amp; Sequence Diagram</t>
      </text>
    </comment>
    <comment ref="M1" authorId="2" shapeId="0">
      <text>
        <t>KienNT:
1. AI Logs: each member &gt;=3 logs
2. Weekly Reports: each member &gt;=2 reports</t>
      </text>
    </comment>
    <comment ref="N1" authorId="2" shapeId="0">
      <text>
        <t xml:space="preserve">KienNT:
Taken from the team's LOC Evaluation Spreadsheet (Gx)
</t>
      </text>
    </comment>
    <comment ref="P1" authorId="2" shapeId="0">
      <text>
        <t xml:space="preserve">KienNT:
Requirement Outputs:
- Update for the Iter1 outputs
- Detailed Descriptions for the Iter2 screens
Design Outputs:
- Update for the Iter1 outputs
- Database Design &amp; Description (&gt;= 10 tables)
- Code Design: design code following the defined high level design, OO design practices &amp; standard/chosen coding standards
</t>
      </text>
    </comment>
    <comment ref="R1" authorId="0" shapeId="0">
      <text>
        <t xml:space="preserve">Outputs:
1. AI Logs: each member &gt;=5 logs for coding &amp; debugging
2. Git commits: each members &gt;= 8 code commits
3. Weekly Reports: each member &gt;=3 reports
</t>
      </text>
    </comment>
    <comment ref="T1" authorId="2" shapeId="0">
      <text>
        <t>KienNT:
LOC's Converted Grade</t>
      </text>
    </comment>
    <comment ref="U1" authorId="2" shapeId="0">
      <text>
        <t xml:space="preserve">KienNT:
Taken from the team's LOC Evaluation Spreadsheet (Gx)
</t>
      </text>
    </comment>
    <comment ref="W1" authorId="2" shapeId="0">
      <text>
        <t>KienNT:
Requirement Outputs:
- Update for the Iter1&amp;2 outputs
- Detailed Descriptions for the Iter3 screens
Design Outputs:
- Update for the Iter1&amp;2 outputs
- Database Design &amp; Description (&gt;= 10 tables)
- Code Design: design code following the defined high level design, OO design practices &amp; standard/chosen coding standards</t>
      </text>
    </comment>
    <comment ref="Y1" authorId="0" shapeId="0">
      <text>
        <t xml:space="preserve">Outputs:
1. Integration Test Evidences: screen shots &amp; descriptions for all the functional tests that students have executed on each of the student's completed screens
2. System Test Cases: &gt;=25 test cases that the student team have designed &amp; executed on the business processes that the team have implemented on their product.
3. System Test Evidences: screen shots &amp; descriptions for all the system tests that student teams have executed on each of the business processes that they have implemented.
</t>
      </text>
    </comment>
    <comment ref="AA1" authorId="0" shapeId="0">
      <text>
        <t xml:space="preserve">Outputs:
1. AI Logs: each member &gt;=5 logs for debugging &amp; testing
2. Git commits: each members &gt;= 6 code commits
</t>
      </text>
    </comment>
    <comment ref="AC1" authorId="2" shapeId="0">
      <text>
        <t>KienNT:
LOC's Converted Grade</t>
      </text>
    </comment>
    <comment ref="AD1" authorId="2" shapeId="0">
      <text>
        <t xml:space="preserve">KienNT:
Taken from the team's LOC Evaluation Spreadsheet (Gx)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305517</colOff>
      <row>32</row>
      <rowOff>57151</rowOff>
    </from>
    <to>
      <col>8</col>
      <colOff>526255</colOff>
      <row>43</row>
      <rowOff>129200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8842" y="6186489"/>
          <a:ext cx="6121476" cy="20627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34464</colOff>
      <row>32</row>
      <rowOff>9525</rowOff>
    </from>
    <to>
      <col>15</col>
      <colOff>862794</colOff>
      <row>50</row>
      <rowOff>15220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163927" y="6138863"/>
          <a:ext cx="3719448" cy="32632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24835</colOff>
      <row>45</row>
      <rowOff>9524</rowOff>
    </from>
    <to>
      <col>8</col>
      <colOff>333376</colOff>
      <row>70</row>
      <rowOff>151171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62960" y="8491537"/>
          <a:ext cx="5904479" cy="46660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8"/>
  <sheetViews>
    <sheetView tabSelected="1" zoomScale="85" zoomScaleNormal="85" workbookViewId="0">
      <pane ySplit="1" topLeftCell="A2" activePane="bottomLeft" state="frozen"/>
      <selection pane="bottomLeft" activeCell="V5" sqref="V5"/>
    </sheetView>
  </sheetViews>
  <sheetFormatPr baseColWidth="8" defaultColWidth="8.765625" defaultRowHeight="14.6"/>
  <cols>
    <col collapsed="1" width="16.15234375" customWidth="1" min="1" max="1"/>
    <col hidden="1" outlineLevel="1" width="13.53515625" customWidth="1" min="2" max="2"/>
    <col hidden="1" outlineLevel="1" width="13.23046875" customWidth="1" min="3" max="3"/>
    <col collapsed="1" width="5" bestFit="1" customWidth="1" min="4" max="4"/>
    <col hidden="1" outlineLevel="1" width="5.69140625" customWidth="1" min="5" max="5"/>
    <col hidden="1" outlineLevel="1" width="55.921875" customWidth="1" min="6" max="6"/>
    <col width="5.69140625" customWidth="1" style="5" min="7" max="7"/>
    <col width="4.765625" customWidth="1" style="1" min="8" max="8"/>
    <col outlineLevel="1" collapsed="1" width="5.3828125" customWidth="1" min="9" max="9"/>
    <col hidden="1" outlineLevel="2" width="33.07421875" customWidth="1" min="10" max="10"/>
    <col outlineLevel="1" collapsed="1" width="7.84375" customWidth="1" min="11" max="11"/>
    <col hidden="1" outlineLevel="2" width="30.69140625" customWidth="1" min="12" max="12"/>
    <col outlineLevel="1" collapsed="1" width="8.23046875" customWidth="1" min="13" max="13"/>
    <col hidden="1" outlineLevel="2" width="23.765625" customWidth="1" min="14" max="14"/>
    <col collapsed="1" width="4.765625" customWidth="1" style="1" min="15" max="15"/>
    <col hidden="1" outlineLevel="1" collapsed="1" width="5" customWidth="1" min="16" max="16"/>
    <col hidden="1" outlineLevel="2" width="36.07421875" customWidth="1" min="17" max="17"/>
    <col hidden="1" outlineLevel="1" collapsed="1" width="8.3046875" customWidth="1" min="18" max="18"/>
    <col hidden="1" outlineLevel="2" width="30.69140625" customWidth="1" min="19" max="19"/>
    <col hidden="1" outlineLevel="1" width="5.53515625" customWidth="1" min="20" max="20"/>
    <col hidden="1" outlineLevel="2" width="6.4609375" customWidth="1" min="21" max="21"/>
    <col width="4.765625" customWidth="1" style="1" min="22" max="22"/>
    <col outlineLevel="1" width="5" customWidth="1" min="23" max="23"/>
    <col outlineLevel="2" width="36.07421875" customWidth="1" min="24" max="24"/>
    <col outlineLevel="1" width="8.3046875" customWidth="1" min="25" max="25"/>
    <col outlineLevel="2" width="30.69140625" customWidth="1" min="26" max="26"/>
    <col outlineLevel="1" width="8.3046875" customWidth="1" min="27" max="27"/>
    <col outlineLevel="2" width="30.69140625" customWidth="1" min="28" max="28"/>
    <col outlineLevel="1" width="5.53515625" customWidth="1" min="29" max="29"/>
    <col outlineLevel="2" width="6.4609375" customWidth="1" min="30" max="30"/>
  </cols>
  <sheetData>
    <row r="1">
      <c r="A1" s="70" t="inlineStr">
        <is>
          <t>Full_name</t>
        </is>
      </c>
      <c r="B1" s="70" t="inlineStr">
        <is>
          <t>Roll_number</t>
        </is>
      </c>
      <c r="C1" s="70" t="inlineStr">
        <is>
          <t>Email Account</t>
        </is>
      </c>
      <c r="D1" s="70" t="inlineStr">
        <is>
          <t>Gx</t>
        </is>
      </c>
      <c r="E1" s="70" t="inlineStr">
        <is>
          <t>TL?</t>
        </is>
      </c>
      <c r="F1" s="70" t="inlineStr">
        <is>
          <t>Notes</t>
        </is>
      </c>
      <c r="G1" s="54" t="inlineStr">
        <is>
          <t>OG</t>
        </is>
      </c>
      <c r="H1" s="55" t="inlineStr">
        <is>
          <t>Iter1</t>
        </is>
      </c>
      <c r="I1" s="56" t="inlineStr">
        <is>
          <t>Req</t>
        </is>
      </c>
      <c r="J1" s="56" t="inlineStr">
        <is>
          <t>Requirement (Req) Comments</t>
        </is>
      </c>
      <c r="K1" s="56" t="inlineStr">
        <is>
          <t>Design</t>
        </is>
      </c>
      <c r="L1" s="56" t="inlineStr">
        <is>
          <t>Design Comments</t>
        </is>
      </c>
      <c r="M1" s="56" t="inlineStr">
        <is>
          <t>Process1</t>
        </is>
      </c>
      <c r="N1" s="56" t="inlineStr">
        <is>
          <t>Process1 Comments</t>
        </is>
      </c>
      <c r="O1" s="55" t="inlineStr">
        <is>
          <t>Iter2</t>
        </is>
      </c>
      <c r="P1" s="56" t="inlineStr">
        <is>
          <t>R&amp;D</t>
        </is>
      </c>
      <c r="Q1" s="56" t="inlineStr">
        <is>
          <t>Requirement &amp; Design (R&amp;D) Comments</t>
        </is>
      </c>
      <c r="R1" s="56" t="inlineStr">
        <is>
          <t>Process2</t>
        </is>
      </c>
      <c r="S1" s="56" t="inlineStr">
        <is>
          <t>Process2 Comments</t>
        </is>
      </c>
      <c r="T1" s="56" t="inlineStr">
        <is>
          <t>LG2</t>
        </is>
      </c>
      <c r="U1" s="56" t="inlineStr">
        <is>
          <t>LOC2</t>
        </is>
      </c>
      <c r="V1" s="6" t="inlineStr">
        <is>
          <t>Iter3</t>
        </is>
      </c>
      <c r="W1" s="56" t="inlineStr">
        <is>
          <t>R&amp;D</t>
        </is>
      </c>
      <c r="X1" s="56" t="inlineStr">
        <is>
          <t>Requirement &amp; Design (R&amp;D) Comments</t>
        </is>
      </c>
      <c r="Y1" s="56" t="inlineStr">
        <is>
          <t>Testing</t>
        </is>
      </c>
      <c r="Z1" s="56" t="inlineStr">
        <is>
          <t>Testing Comments</t>
        </is>
      </c>
      <c r="AA1" s="56" t="inlineStr">
        <is>
          <t>Process3</t>
        </is>
      </c>
      <c r="AB1" s="56" t="inlineStr">
        <is>
          <t>Process3 Comments</t>
        </is>
      </c>
      <c r="AC1" s="56" t="inlineStr">
        <is>
          <t>LG2</t>
        </is>
      </c>
      <c r="AD1" s="56" t="inlineStr">
        <is>
          <t>LOC2</t>
        </is>
      </c>
    </row>
    <row r="2">
      <c r="A2" s="60" t="n"/>
      <c r="B2" s="60" t="n"/>
      <c r="C2" s="60" t="n"/>
      <c r="D2" s="60" t="n"/>
      <c r="E2" s="60" t="n"/>
      <c r="F2" s="60" t="n"/>
      <c r="G2" s="61">
        <f>H2+O2+V2</f>
        <v/>
      </c>
      <c r="H2" s="62" t="n">
        <v>0.15</v>
      </c>
      <c r="I2" s="63" t="n">
        <v>0.5</v>
      </c>
      <c r="J2" s="63" t="n"/>
      <c r="K2" s="63" t="n">
        <v>0.3</v>
      </c>
      <c r="L2" s="63" t="n"/>
      <c r="M2" s="63" t="n">
        <v>0.2</v>
      </c>
      <c r="N2" s="63" t="n"/>
      <c r="O2" s="62" t="n">
        <v>0.2</v>
      </c>
      <c r="P2" s="63" t="n">
        <v>0.3</v>
      </c>
      <c r="Q2" s="63" t="n"/>
      <c r="R2" s="63" t="n">
        <v>0.2</v>
      </c>
      <c r="S2" s="63" t="n"/>
      <c r="T2" s="63" t="n">
        <v>0.5</v>
      </c>
      <c r="U2" s="63" t="n"/>
      <c r="V2" s="62" t="n">
        <v>0.25</v>
      </c>
      <c r="W2" s="63" t="n">
        <v>0.1</v>
      </c>
      <c r="X2" s="63" t="n"/>
      <c r="Y2" s="63" t="n">
        <v>0.3</v>
      </c>
      <c r="Z2" s="63" t="n"/>
      <c r="AA2" s="63" t="n">
        <v>0.1</v>
      </c>
      <c r="AB2" s="63" t="n"/>
      <c r="AC2" s="63" t="n">
        <v>0.5</v>
      </c>
      <c r="AD2" s="63" t="n"/>
    </row>
    <row r="3" ht="30" customHeight="1">
      <c r="A3" s="98" t="inlineStr">
        <is>
          <t>TienDat-Vna</t>
        </is>
      </c>
      <c r="B3" s="98" t="inlineStr">
        <is>
          <t>TODO: MSSV</t>
        </is>
      </c>
      <c r="C3" s="99" t="inlineStr">
        <is>
          <t>TienDat-Vna</t>
        </is>
      </c>
      <c r="D3" s="98" t="inlineStr">
        <is>
          <t>Team</t>
        </is>
      </c>
      <c r="E3" s="98" t="n"/>
      <c r="F3" s="98" t="inlineStr">
        <is>
          <t>TODO: MSSV thật (chưa có trong repo). Điểm Design/R&amp;D/Process/Testing là GỢI Ý AI dựa trên số commit + độ phức tạp tính năng thật trong repo - cần leader/giảng viên xác nhận lại trước khi dùng làm điểm chính thức.</t>
        </is>
      </c>
      <c r="G3" s="100">
        <f>(H3*H$2+O3*O$2+V3*V$2)/G$2</f>
        <v/>
      </c>
      <c r="H3" s="101">
        <f>MAX(0, MIN(10, K3*K$2+M3*M$2+I3))</f>
        <v/>
      </c>
      <c r="I3" s="10" t="n">
        <v>0.5</v>
      </c>
      <c r="J3" s="10" t="n"/>
      <c r="K3" s="102" t="n">
        <v>8</v>
      </c>
      <c r="L3" s="12" t="inlineStr">
        <is>
          <t>Auth API (JWT, Admin 2FA, soft-delete logout) hoàn thiện, có test tự động (AuthControllerIntegrationTest, AuthenticationServiceTest)</t>
        </is>
      </c>
      <c r="M3" s="103">
        <f>MIN(10,N3/18)</f>
        <v/>
      </c>
      <c r="N3" s="10" t="n">
        <v>135</v>
      </c>
      <c r="O3" s="101">
        <f>MAX(0, MIN(10, P3*P$2+R3*R$2+T3*T$2))</f>
        <v/>
      </c>
      <c r="P3" s="10" t="n">
        <v>0.5</v>
      </c>
      <c r="Q3" s="10" t="n"/>
      <c r="R3" s="104" t="n">
        <v>8</v>
      </c>
      <c r="S3" s="67" t="inlineStr">
        <is>
          <t>Khởi tạo Assessment/Mock Test JLPT (UC-10), có test (MockExamServiceTest, AssessmentControllerIntegrationTest)</t>
        </is>
      </c>
      <c r="T3" s="103">
        <f>MIN(10,U3/42)</f>
        <v/>
      </c>
      <c r="U3" s="10" t="n">
        <v>157.5</v>
      </c>
      <c r="V3" s="101">
        <f>MAX(0, MIN(10, W3*W$2+Y3*Y$2+ AA3*AA$2+AC3*AC$2))</f>
        <v/>
      </c>
      <c r="W3" s="10" t="n">
        <v>0.5</v>
      </c>
      <c r="X3" s="10" t="n"/>
      <c r="Y3" s="104" t="n">
        <v>6</v>
      </c>
      <c r="Z3" s="67" t="inlineStr">
        <is>
          <t>Migrate DB sang MySQL 8 + kiến trúc cloud-native (ADR-009); fix loạt bug Kanji (CDN 404, animation nét vẽ)</t>
        </is>
      </c>
      <c r="AA3" s="104" t="n">
        <v>7</v>
      </c>
      <c r="AB3" s="67" t="inlineStr">
        <is>
          <t>Dẫn đầu xử lý sự cố production (502 crash-loop, SMTP fail, sai mật khẩu SA) + viết báo cáo sự cố</t>
        </is>
      </c>
      <c r="AC3" s="103">
        <f>MIN(10,AD3/42)</f>
        <v/>
      </c>
      <c r="AD3" s="10" t="n">
        <v>105</v>
      </c>
    </row>
    <row r="4" ht="30" customHeight="1">
      <c r="A4" s="98" t="inlineStr">
        <is>
          <t>MinhPham</t>
        </is>
      </c>
      <c r="B4" s="98" t="inlineStr">
        <is>
          <t>TODO: MSSV</t>
        </is>
      </c>
      <c r="C4" s="99" t="inlineStr">
        <is>
          <t>MinhPham</t>
        </is>
      </c>
      <c r="D4" s="98" t="inlineStr">
        <is>
          <t>Team</t>
        </is>
      </c>
      <c r="E4" s="98" t="n"/>
      <c r="F4" s="98" t="inlineStr">
        <is>
          <t>TODO: MSSV thật (chưa có trong repo). Điểm Design/R&amp;D/Process/Testing là GỢI Ý AI dựa trên số commit + độ phức tạp tính năng thật trong repo - cần leader/giảng viên xác nhận lại trước khi dùng làm điểm chính thức.</t>
        </is>
      </c>
      <c r="G4" s="100">
        <f>(H4*H$2+O4*O$2+V4*V$2)/G$2</f>
        <v/>
      </c>
      <c r="H4" s="101">
        <f>MAX(0, MIN(10, K4*K$2+M4*M$2+I4))</f>
        <v/>
      </c>
      <c r="I4" s="10" t="n">
        <v>0.5</v>
      </c>
      <c r="J4" s="10" t="n"/>
      <c r="K4" s="102" t="n">
        <v>6</v>
      </c>
      <c r="L4" s="12" t="inlineStr">
        <is>
          <t>UI trang chủ (Homepage) + spec thiết kế frontend</t>
        </is>
      </c>
      <c r="M4" s="103">
        <f>MIN(10,N4/18)</f>
        <v/>
      </c>
      <c r="N4" s="10" t="n">
        <v>45</v>
      </c>
      <c r="O4" s="101">
        <f>MAX(0, MIN(10, P4*P$2+R4*R$2+T4*T$2))</f>
        <v/>
      </c>
      <c r="P4" s="10" t="n">
        <v>0.5</v>
      </c>
      <c r="Q4" s="10" t="n"/>
      <c r="R4" s="104" t="n">
        <v>8</v>
      </c>
      <c r="S4" s="67" t="inlineStr">
        <is>
          <t>Flashcard SRS, Vocabulary (UC-09), Support &amp; Notification - 3 module hoàn thiện, chiếm phần lớn tính năng của hệ thống</t>
        </is>
      </c>
      <c r="T4" s="103">
        <f>MIN(10,U4/42)</f>
        <v/>
      </c>
      <c r="U4" s="10" t="n">
        <v>240</v>
      </c>
      <c r="V4" s="101">
        <f>MAX(0, MIN(10, W4*W$2+Y4*Y$2+ AA4*AA$2+AC4*AC$2))</f>
        <v/>
      </c>
      <c r="W4" s="10" t="n">
        <v>0.5</v>
      </c>
      <c r="X4" s="10" t="n"/>
      <c r="Y4" s="104" t="n">
        <v>7</v>
      </c>
      <c r="Z4" s="67" t="inlineStr">
        <is>
          <t>Luyện nói &amp; chấm điểm (UC-13, UC-31) + siết validation toàn hệ thống (G1-G7, có test)</t>
        </is>
      </c>
      <c r="AA4" s="104" t="n">
        <v>8</v>
      </c>
      <c r="AB4" s="67" t="inlineStr">
        <is>
          <t>Siết validation input toàn hệ thống, docs(validation): catalog lỗi validation</t>
        </is>
      </c>
      <c r="AC4" s="103">
        <f>MIN(10,AD4/42)</f>
        <v/>
      </c>
      <c r="AD4" s="10" t="n">
        <v>217.5</v>
      </c>
    </row>
    <row r="5" ht="30" customHeight="1">
      <c r="A5" s="98" t="inlineStr">
        <is>
          <t>hung02042005</t>
        </is>
      </c>
      <c r="B5" s="98" t="inlineStr">
        <is>
          <t>TODO: MSSV</t>
        </is>
      </c>
      <c r="C5" s="99" t="inlineStr">
        <is>
          <t>hung02042005</t>
        </is>
      </c>
      <c r="D5" s="98" t="inlineStr">
        <is>
          <t>Team</t>
        </is>
      </c>
      <c r="E5" s="98" t="n"/>
      <c r="F5" s="98" t="inlineStr">
        <is>
          <t>TODO: MSSV thật (chưa có trong repo). Điểm Design/R&amp;D/Process/Testing là GỢI Ý AI dựa trên số commit + độ phức tạp tính năng thật trong repo - cần leader/giảng viên xác nhận lại trước khi dùng làm điểm chính thức.</t>
        </is>
      </c>
      <c r="G5" s="100">
        <f>(H5*H$2+O5*O$2+V5*V$2)/G$2</f>
        <v/>
      </c>
      <c r="H5" s="101">
        <f>MAX(0, MIN(10, K5*K$2+M5*M$2+I5))</f>
        <v/>
      </c>
      <c r="I5" s="10" t="n">
        <v>0.5</v>
      </c>
      <c r="J5" s="10" t="n"/>
      <c r="K5" s="102" t="n">
        <v>6</v>
      </c>
      <c r="L5" s="12" t="inlineStr">
        <is>
          <t>Cấu hình FE/BE ban đầu + màn hình Đăng nhập/Đăng ký/Quên mật khẩu (FE)</t>
        </is>
      </c>
      <c r="M5" s="103">
        <f>MIN(10,N5/18)</f>
        <v/>
      </c>
      <c r="N5" s="10" t="n">
        <v>60</v>
      </c>
      <c r="O5" s="101">
        <f>MAX(0, MIN(10, P5*P$2+R5*R$2+T5*T$2))</f>
        <v/>
      </c>
      <c r="P5" s="10" t="n">
        <v>0.5</v>
      </c>
      <c r="Q5" s="10" t="n"/>
      <c r="R5" s="104" t="n">
        <v>7</v>
      </c>
      <c r="S5" s="67" t="inlineStr">
        <is>
          <t>Dashboard + Quản lý học viên (Staff) - backend + nối FE</t>
        </is>
      </c>
      <c r="T5" s="103">
        <f>MIN(10,U5/42)</f>
        <v/>
      </c>
      <c r="U5" s="10" t="n">
        <v>90</v>
      </c>
      <c r="V5" s="101">
        <f>MAX(0, MIN(10, W5*W$2+Y5*Y$2+ AA5*AA$2+AC5*AC$2))</f>
        <v/>
      </c>
      <c r="W5" s="10" t="n">
        <v>0.5</v>
      </c>
      <c r="X5" s="10" t="n"/>
      <c r="Y5" s="104" t="n">
        <v>5</v>
      </c>
      <c r="Z5" s="67" t="inlineStr">
        <is>
          <t>Cập nhật luồng Luyện nói cho Staff/StaffManager</t>
        </is>
      </c>
      <c r="AA5" s="104" t="n">
        <v>6</v>
      </c>
      <c r="AB5" s="67" t="inlineStr">
        <is>
          <t>Fix UI Staff/Manager + onboarding, fix feedback manager</t>
        </is>
      </c>
      <c r="AC5" s="103">
        <f>MIN(10,AD5/42)</f>
        <v/>
      </c>
      <c r="AD5" s="10" t="n">
        <v>60</v>
      </c>
    </row>
    <row r="6" ht="30" customHeight="1">
      <c r="A6" s="98" t="inlineStr">
        <is>
          <t>Duyxh</t>
        </is>
      </c>
      <c r="B6" s="98" t="inlineStr">
        <is>
          <t>TODO: MSSV</t>
        </is>
      </c>
      <c r="C6" s="99" t="inlineStr">
        <is>
          <t>Duyxh</t>
        </is>
      </c>
      <c r="D6" s="98" t="inlineStr">
        <is>
          <t>Team</t>
        </is>
      </c>
      <c r="E6" s="98" t="n"/>
      <c r="F6" s="98" t="inlineStr">
        <is>
          <t>TODO: MSSV thật (chưa có trong repo). Điểm Design/R&amp;D/Process/Testing là GỢI Ý AI dựa trên số commit + độ phức tạp tính năng thật trong repo - cần leader/giảng viên xác nhận lại trước khi dùng làm điểm chính thức.</t>
        </is>
      </c>
      <c r="G6" s="100">
        <f>(H6*H$2+O6*O$2+V6*V$2)/G$2</f>
        <v/>
      </c>
      <c r="H6" s="101">
        <f>MAX(0, MIN(10, K6*K$2+M6*M$2+I6))</f>
        <v/>
      </c>
      <c r="I6" s="10" t="n">
        <v>0.5</v>
      </c>
      <c r="J6" s="10" t="n"/>
      <c r="K6" s="102" t="n">
        <v>5</v>
      </c>
      <c r="L6" s="12" t="inlineStr">
        <is>
          <t>Soạn use case, database design, test case cho module Authentication (tài liệu, chưa có code riêng trong Iter1)</t>
        </is>
      </c>
      <c r="M6" s="103">
        <f>MIN(10,N6/18)</f>
        <v/>
      </c>
      <c r="N6" s="10" t="n">
        <v>30</v>
      </c>
      <c r="O6" s="101">
        <f>MAX(0, MIN(10, P6*P$2+R6*R$2+T6*T$2))</f>
        <v/>
      </c>
      <c r="P6" s="10" t="n">
        <v>0.5</v>
      </c>
      <c r="Q6" s="10" t="n"/>
      <c r="R6" s="104" t="n">
        <v>6</v>
      </c>
      <c r="S6" s="67" t="inlineStr">
        <is>
          <t>Trang Ngữ pháp (Grammar) + Learning content status converter</t>
        </is>
      </c>
      <c r="T6" s="103">
        <f>MIN(10,U6/42)</f>
        <v/>
      </c>
      <c r="U6" s="10" t="n">
        <v>60</v>
      </c>
      <c r="V6" s="101">
        <f>MAX(0, MIN(10, W6*W$2+Y6*Y$2+ AA6*AA$2+AC6*AC$2))</f>
        <v/>
      </c>
      <c r="W6" s="10" t="n">
        <v>0.5</v>
      </c>
      <c r="X6" s="10" t="n"/>
      <c r="Y6" s="104" t="n">
        <v>5</v>
      </c>
      <c r="Z6" s="67" t="inlineStr">
        <is>
          <t>ManagerDeletedContent: soft-delete/restore chủ đề từ vựng (StaffManager, UC-33/34)</t>
        </is>
      </c>
      <c r="AA6" s="104" t="n">
        <v>5</v>
      </c>
      <c r="AB6" s="67" t="inlineStr">
        <is>
          <t>Fix Kanji/Kana + spotless CI</t>
        </is>
      </c>
      <c r="AC6" s="103">
        <f>MIN(10,AD6/42)</f>
        <v/>
      </c>
      <c r="AD6" s="10" t="n">
        <v>60</v>
      </c>
    </row>
    <row r="7" ht="30" customHeight="1">
      <c r="A7" s="98" t="inlineStr">
        <is>
          <t>lanhphung</t>
        </is>
      </c>
      <c r="B7" s="98" t="inlineStr">
        <is>
          <t>TODO: MSSV</t>
        </is>
      </c>
      <c r="C7" s="99" t="inlineStr">
        <is>
          <t>lanhphung</t>
        </is>
      </c>
      <c r="D7" s="98" t="inlineStr">
        <is>
          <t>Team</t>
        </is>
      </c>
      <c r="E7" s="98" t="n"/>
      <c r="F7" s="98" t="inlineStr">
        <is>
          <t>TODO: MSSV thật (chưa có trong repo). Điểm Design/R&amp;D/Process/Testing là GỢI Ý AI dựa trên số commit + độ phức tạp tính năng thật trong repo - cần leader/giảng viên xác nhận lại trước khi dùng làm điểm chính thức.</t>
        </is>
      </c>
      <c r="G7" s="100">
        <f>(H7*H$2+O7*O$2+V7*V$2)/G$2</f>
        <v/>
      </c>
      <c r="H7" s="101">
        <f>MAX(0, MIN(10, K7*K$2+M7*M$2+I7))</f>
        <v/>
      </c>
      <c r="I7" s="10" t="n"/>
      <c r="J7" s="10" t="n"/>
      <c r="K7" s="102" t="n"/>
      <c r="L7" s="12" t="n"/>
      <c r="M7" s="103">
        <f>MIN(10,N7/18)</f>
        <v/>
      </c>
      <c r="N7" s="10" t="n"/>
      <c r="O7" s="101">
        <f>MAX(0, MIN(10, P7*P$2+R7*R$2+T7*T$2))</f>
        <v/>
      </c>
      <c r="P7" s="10" t="n">
        <v>0.5</v>
      </c>
      <c r="Q7" s="10" t="n"/>
      <c r="R7" s="104" t="n">
        <v>5</v>
      </c>
      <c r="S7" s="67" t="inlineStr">
        <is>
          <t>Migrate backend từ layer-based sang feature-based architecture - công việc cấu trúc/hạ tầng, không gắn với 1 màn hình cụ thể</t>
        </is>
      </c>
      <c r="T7" s="103">
        <f>MIN(10,U7/42)</f>
        <v/>
      </c>
      <c r="U7" s="10" t="n">
        <v>30</v>
      </c>
      <c r="V7" s="101">
        <f>MAX(0, MIN(10, W7*W$2+Y7*Y$2+ AA7*AA$2+AC7*AC$2))</f>
        <v/>
      </c>
      <c r="W7" s="10" t="n"/>
      <c r="X7" s="10" t="n"/>
      <c r="Y7" s="104" t="n"/>
      <c r="Z7" s="67" t="n"/>
      <c r="AA7" s="104" t="n"/>
      <c r="AB7" s="67" t="n"/>
      <c r="AC7" s="103">
        <f>MIN(10,AD7/42)</f>
        <v/>
      </c>
      <c r="AD7" s="10" t="n"/>
    </row>
    <row r="8">
      <c r="A8" s="2" t="n"/>
      <c r="B8" s="2" t="n"/>
      <c r="C8" s="2" t="n"/>
      <c r="D8" s="2" t="n"/>
      <c r="E8" s="2" t="n"/>
      <c r="F8" s="2" t="n"/>
      <c r="G8" s="4" t="n"/>
      <c r="H8" s="3" t="n"/>
      <c r="O8" s="3" t="n"/>
      <c r="V8" s="3" t="n"/>
    </row>
  </sheetData>
  <autoFilter ref="A1:E15"/>
  <conditionalFormatting sqref="G3:G15">
    <cfRule type="cellIs" priority="26" operator="lessThan" dxfId="0">
      <formula>5</formula>
    </cfRule>
  </conditionalFormatting>
  <conditionalFormatting sqref="H3:H15">
    <cfRule type="cellIs" priority="19" operator="lessThan" dxfId="0">
      <formula>5</formula>
    </cfRule>
    <cfRule type="cellIs" priority="20" operator="lessThan" dxfId="0">
      <formula>5</formula>
    </cfRule>
    <cfRule type="cellIs" priority="21" operator="lessThan" dxfId="0">
      <formula>5</formula>
    </cfRule>
  </conditionalFormatting>
  <conditionalFormatting sqref="O3:O15">
    <cfRule type="cellIs" priority="16" operator="lessThan" dxfId="0">
      <formula>5</formula>
    </cfRule>
    <cfRule type="cellIs" priority="17" operator="lessThan" dxfId="0">
      <formula>5</formula>
    </cfRule>
    <cfRule type="cellIs" priority="18" operator="lessThan" dxfId="0">
      <formula>5</formula>
    </cfRule>
  </conditionalFormatting>
  <conditionalFormatting sqref="V3:V15">
    <cfRule type="cellIs" priority="1" operator="lessThan" dxfId="0">
      <formula>5</formula>
    </cfRule>
    <cfRule type="cellIs" priority="2" operator="lessThan" dxfId="0">
      <formula>5</formula>
    </cfRule>
    <cfRule type="cellIs" priority="3" operator="lessThan" dxfId="0">
      <formula>5</formula>
    </cfRule>
  </conditionalFormatting>
  <dataValidations count="1">
    <dataValidation sqref="I3:J15 P3:P15 W3:W15" showDropDown="0" showInputMessage="1" showErrorMessage="1" allowBlank="1" type="decimal">
      <formula1>-1</formula1>
      <formula2>1</formula2>
    </dataValidation>
  </dataValidations>
  <pageMargins left="0.699305555555556" right="0.699305555555556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A6" sqref="A6"/>
    </sheetView>
  </sheetViews>
  <sheetFormatPr baseColWidth="8" defaultColWidth="10.765625" defaultRowHeight="12.45"/>
  <cols>
    <col width="7.07421875" customWidth="1" style="8" min="1" max="1"/>
    <col width="24.3828125" customWidth="1" style="7" min="2" max="2"/>
    <col width="14.61328125" customWidth="1" style="7" min="3" max="3"/>
    <col width="9.07421875" customWidth="1" style="7" min="4" max="4"/>
    <col width="10.23046875" bestFit="1" customWidth="1" style="7" min="5" max="5"/>
    <col width="4.69140625" customWidth="1" style="7" min="6" max="6"/>
    <col outlineLevel="1" width="36.69140625" customWidth="1" style="7" min="7" max="7"/>
    <col outlineLevel="1" width="14.4609375" customWidth="1" style="7" min="8" max="8"/>
    <col outlineLevel="1" width="10.765625" customWidth="1" style="7" min="9" max="9"/>
    <col outlineLevel="2" width="18.15234375" customWidth="1" style="7" min="10" max="10"/>
    <col width="10.765625" customWidth="1" style="7" min="11" max="16384"/>
  </cols>
  <sheetData>
    <row r="1" ht="14.6" customHeight="1">
      <c r="A1" s="69" t="inlineStr">
        <is>
          <t>IterX</t>
        </is>
      </c>
      <c r="B1" s="69" t="inlineStr">
        <is>
          <t>Screen/Function</t>
        </is>
      </c>
      <c r="C1" s="69" t="inlineStr">
        <is>
          <t>Feature</t>
        </is>
      </c>
      <c r="D1" s="69" t="inlineStr">
        <is>
          <t>In Charge</t>
        </is>
      </c>
      <c r="E1" s="69" t="inlineStr">
        <is>
          <t>Status</t>
        </is>
      </c>
      <c r="F1" s="22" t="inlineStr">
        <is>
          <t>LOC</t>
        </is>
      </c>
      <c r="G1" s="22" t="inlineStr">
        <is>
          <t>Demo Comments</t>
        </is>
      </c>
      <c r="H1" s="22" t="inlineStr">
        <is>
          <t>Quality</t>
        </is>
      </c>
      <c r="I1" s="22" t="inlineStr">
        <is>
          <t>Complexity</t>
        </is>
      </c>
      <c r="J1" s="22" t="inlineStr">
        <is>
          <t>Complexity Check</t>
        </is>
      </c>
    </row>
    <row r="2" ht="45" customHeight="1">
      <c r="A2" s="17" t="inlineStr">
        <is>
          <t>Iter1</t>
        </is>
      </c>
      <c r="B2" s="18" t="inlineStr">
        <is>
          <t>Đăng nhập / Đăng ký / Quên mật khẩu (API)</t>
        </is>
      </c>
      <c r="C2" s="18" t="inlineStr">
        <is>
          <t>Authentication</t>
        </is>
      </c>
      <c r="D2" s="105" t="inlineStr">
        <is>
          <t>TienDat-Vna</t>
        </is>
      </c>
      <c r="E2" s="105" t="inlineStr">
        <is>
          <t>Done</t>
        </is>
      </c>
      <c r="F2" s="20">
        <f>IF(E2="Done", VLOOKUP(H2,Params!$B$27:$C$29,2,FALSE)*VLOOKUP(I2,Params!$K$12:$N$18,4,FALSE),0)</f>
        <v/>
      </c>
      <c r="G2" s="21" t="inlineStr">
        <is>
          <t>JWT + Admin 2FA + soft-delete logout, nhiều role - test: AuthControllerIntegrationTest, AuthenticationServiceTest</t>
        </is>
      </c>
      <c r="H2" s="21" t="inlineStr">
        <is>
          <t>L2_All Cases</t>
        </is>
      </c>
      <c r="I2" s="21" t="inlineStr">
        <is>
          <t>Level 5</t>
        </is>
      </c>
      <c r="J2" s="52">
        <f>VLOOKUP(I2,Params!$K$12:$O$18,5,FALSE)</f>
        <v/>
      </c>
    </row>
    <row r="3" ht="45" customHeight="1">
      <c r="A3" s="17" t="inlineStr">
        <is>
          <t>Iter1</t>
        </is>
      </c>
      <c r="B3" s="18" t="inlineStr">
        <is>
          <t>Trang Đăng nhập / Đăng ký (FE)</t>
        </is>
      </c>
      <c r="C3" s="18" t="inlineStr">
        <is>
          <t>Authentication UI</t>
        </is>
      </c>
      <c r="D3" s="105" t="inlineStr">
        <is>
          <t>hung02042005</t>
        </is>
      </c>
      <c r="E3" s="105" t="inlineStr">
        <is>
          <t>Done</t>
        </is>
      </c>
      <c r="F3" s="20">
        <f>IF(E3="Done", VLOOKUP(H3,Params!$B$27:$C$29,2,FALSE)*VLOOKUP(I3,Params!$K$12:$N$18,4,FALSE),0)</f>
        <v/>
      </c>
      <c r="G3" s="21" t="inlineStr">
        <is>
          <t>login/forgetpassword/register FE ban đầu</t>
        </is>
      </c>
      <c r="H3" s="21" t="inlineStr">
        <is>
          <t>L1_Happy Cases</t>
        </is>
      </c>
      <c r="I3" s="21" t="inlineStr">
        <is>
          <t>Level 3</t>
        </is>
      </c>
      <c r="J3" s="52">
        <f>VLOOKUP(I3,Params!$K$12:$O$18,5,FALSE)</f>
        <v/>
      </c>
    </row>
    <row r="4" ht="45" customHeight="1">
      <c r="A4" s="17" t="inlineStr">
        <is>
          <t>Iter1</t>
        </is>
      </c>
      <c r="B4" s="18" t="inlineStr">
        <is>
          <t>Trang chủ (Homepage)</t>
        </is>
      </c>
      <c r="C4" s="18" t="inlineStr">
        <is>
          <t>Marketing/Home</t>
        </is>
      </c>
      <c r="D4" s="105" t="inlineStr">
        <is>
          <t>MinhPham</t>
        </is>
      </c>
      <c r="E4" s="105" t="inlineStr">
        <is>
          <t>Done</t>
        </is>
      </c>
      <c r="F4" s="20">
        <f>IF(E4="Done", VLOOKUP(H4,Params!$B$27:$C$29,2,FALSE)*VLOOKUP(I4,Params!$K$12:$N$18,4,FALSE),0)</f>
        <v/>
      </c>
      <c r="G4" s="21" t="inlineStr">
        <is>
          <t>UI homepage + spec thiết kế FE</t>
        </is>
      </c>
      <c r="H4" s="21" t="inlineStr">
        <is>
          <t>L1_Happy Cases</t>
        </is>
      </c>
      <c r="I4" s="21" t="inlineStr">
        <is>
          <t>Level 2</t>
        </is>
      </c>
      <c r="J4" s="52">
        <f>VLOOKUP(I4,Params!$K$12:$O$18,5,FALSE)</f>
        <v/>
      </c>
    </row>
    <row r="5" ht="45" customHeight="1">
      <c r="A5" s="17" t="inlineStr">
        <is>
          <t>Iter1</t>
        </is>
      </c>
      <c r="B5" s="18" t="inlineStr">
        <is>
          <t>Đặc tả Use Case &amp; Database Design</t>
        </is>
      </c>
      <c r="C5" s="18" t="inlineStr">
        <is>
          <t>Documentation</t>
        </is>
      </c>
      <c r="D5" s="105" t="inlineStr">
        <is>
          <t>Duyxh</t>
        </is>
      </c>
      <c r="E5" s="105" t="inlineStr">
        <is>
          <t>Done</t>
        </is>
      </c>
      <c r="F5" s="20">
        <f>IF(E5="Done", VLOOKUP(H5,Params!$B$27:$C$29,2,FALSE)*VLOOKUP(I5,Params!$K$12:$N$18,4,FALSE),0)</f>
        <v/>
      </c>
      <c r="G5" s="21" t="inlineStr">
        <is>
          <t>Tài liệu (database.md, usecase.md, spec manage-user, test case feat-auth) - không phải code màn hình</t>
        </is>
      </c>
      <c r="H5" s="21" t="inlineStr">
        <is>
          <t>L1_Happy Cases</t>
        </is>
      </c>
      <c r="I5" s="21" t="inlineStr">
        <is>
          <t>Level 1</t>
        </is>
      </c>
      <c r="J5" s="52">
        <f>VLOOKUP(I5,Params!$K$12:$O$18,5,FALSE)</f>
        <v/>
      </c>
    </row>
    <row r="6" ht="45" customHeight="1">
      <c r="A6" s="106" t="inlineStr">
        <is>
          <t>Iter2</t>
        </is>
      </c>
      <c r="B6" s="107" t="inlineStr">
        <is>
          <t>Flashcard SRS (ôn tập ngắt quãng)</t>
        </is>
      </c>
      <c r="C6" s="107" t="inlineStr">
        <is>
          <t>Flashcard</t>
        </is>
      </c>
      <c r="D6" s="108" t="inlineStr">
        <is>
          <t>MinhPham</t>
        </is>
      </c>
      <c r="E6" s="108" t="inlineStr">
        <is>
          <t>Done</t>
        </is>
      </c>
      <c r="F6" s="109">
        <f>IF(E6="Done", VLOOKUP(H6,Params!$B$27:$C$29,2,FALSE)*VLOOKUP(I6,Params!$K$12:$N$18,4,FALSE),0)</f>
        <v/>
      </c>
      <c r="G6" s="110" t="inlineStr">
        <is>
          <t>11/13 commit liên quan flashcard trong repo do MinhPham thực hiện</t>
        </is>
      </c>
      <c r="H6" s="110" t="inlineStr">
        <is>
          <t>L1_Happy Cases</t>
        </is>
      </c>
      <c r="I6" s="110" t="inlineStr">
        <is>
          <t>Level 6</t>
        </is>
      </c>
      <c r="J6" s="111">
        <f>VLOOKUP(I6,Params!$K$12:$O$18,5,FALSE)</f>
        <v/>
      </c>
    </row>
    <row r="7" ht="45" customHeight="1">
      <c r="A7" s="106" t="inlineStr">
        <is>
          <t>Iter2</t>
        </is>
      </c>
      <c r="B7" s="107" t="inlineStr">
        <is>
          <t>Danh sách từ vựng (UC-09)</t>
        </is>
      </c>
      <c r="C7" s="107" t="inlineStr">
        <is>
          <t>Vocabulary</t>
        </is>
      </c>
      <c r="D7" s="108" t="inlineStr">
        <is>
          <t>MinhPham</t>
        </is>
      </c>
      <c r="E7" s="108" t="inlineStr">
        <is>
          <t>Done</t>
        </is>
      </c>
      <c r="F7" s="109">
        <f>IF(E7="Done", VLOOKUP(H7,Params!$B$27:$C$29,2,FALSE)*VLOOKUP(I7,Params!$K$12:$N$18,4,FALSE),0)</f>
        <v/>
      </c>
      <c r="G7" s="110" t="inlineStr">
        <is>
          <t>GET /api/vocabulary danh sách từ vựng cho Student</t>
        </is>
      </c>
      <c r="H7" s="110" t="inlineStr">
        <is>
          <t>L1_Happy Cases</t>
        </is>
      </c>
      <c r="I7" s="110" t="inlineStr">
        <is>
          <t>Level 3</t>
        </is>
      </c>
      <c r="J7" s="111">
        <f>VLOOKUP(I7,Params!$K$12:$O$18,5,FALSE)</f>
        <v/>
      </c>
    </row>
    <row r="8" ht="45" customHeight="1">
      <c r="A8" s="106" t="inlineStr">
        <is>
          <t>Iter2</t>
        </is>
      </c>
      <c r="B8" s="107" t="inlineStr">
        <is>
          <t>Ticket hỗ trợ &amp; Thông báo</t>
        </is>
      </c>
      <c r="C8" s="107" t="inlineStr">
        <is>
          <t>Support &amp; Notification</t>
        </is>
      </c>
      <c r="D8" s="108" t="inlineStr">
        <is>
          <t>MinhPham</t>
        </is>
      </c>
      <c r="E8" s="108" t="inlineStr">
        <is>
          <t>Done</t>
        </is>
      </c>
      <c r="F8" s="109">
        <f>IF(E8="Done", VLOOKUP(H8,Params!$B$27:$C$29,2,FALSE)*VLOOKUP(I8,Params!$K$12:$N$18,4,FALSE),0)</f>
        <v/>
      </c>
      <c r="G8" s="110" t="inlineStr">
        <is>
          <t>Port + hoàn thiện luồng ticket/notification</t>
        </is>
      </c>
      <c r="H8" s="110" t="inlineStr">
        <is>
          <t>L1_Happy Cases</t>
        </is>
      </c>
      <c r="I8" s="110" t="inlineStr">
        <is>
          <t>Level 4</t>
        </is>
      </c>
      <c r="J8" s="111">
        <f>VLOOKUP(I8,Params!$K$12:$O$18,5,FALSE)</f>
        <v/>
      </c>
    </row>
    <row r="9" ht="45" customHeight="1">
      <c r="A9" s="106" t="inlineStr">
        <is>
          <t>Iter2</t>
        </is>
      </c>
      <c r="B9" s="107" t="inlineStr">
        <is>
          <t>Dashboard &amp; Quản lý học viên (Staff)</t>
        </is>
      </c>
      <c r="C9" s="107" t="inlineStr">
        <is>
          <t>Staff Content</t>
        </is>
      </c>
      <c r="D9" s="108" t="inlineStr">
        <is>
          <t>hung02042005</t>
        </is>
      </c>
      <c r="E9" s="108" t="inlineStr">
        <is>
          <t>Done</t>
        </is>
      </c>
      <c r="F9" s="109">
        <f>IF(E9="Done", VLOOKUP(H9,Params!$B$27:$C$29,2,FALSE)*VLOOKUP(I9,Params!$K$12:$N$18,4,FALSE),0)</f>
        <v/>
      </c>
      <c r="G9" s="110" t="inlineStr">
        <is>
          <t>Màn Dashboard + Quản lý học viên, backend + nối FE</t>
        </is>
      </c>
      <c r="H9" s="110" t="inlineStr">
        <is>
          <t>L1_Happy Cases</t>
        </is>
      </c>
      <c r="I9" s="110" t="inlineStr">
        <is>
          <t>Level 5</t>
        </is>
      </c>
      <c r="J9" s="111">
        <f>VLOOKUP(I9,Params!$K$12:$O$18,5,FALSE)</f>
        <v/>
      </c>
    </row>
    <row r="10" ht="45" customHeight="1">
      <c r="A10" s="106" t="inlineStr">
        <is>
          <t>Iter2</t>
        </is>
      </c>
      <c r="B10" s="107" t="inlineStr">
        <is>
          <t>Assessment / Mock Test JLPT</t>
        </is>
      </c>
      <c r="C10" s="107" t="inlineStr">
        <is>
          <t>Assessment</t>
        </is>
      </c>
      <c r="D10" s="108" t="inlineStr">
        <is>
          <t>TienDat-Vna</t>
        </is>
      </c>
      <c r="E10" s="108" t="inlineStr">
        <is>
          <t>Done</t>
        </is>
      </c>
      <c r="F10" s="109">
        <f>IF(E10="Done", VLOOKUP(H10,Params!$B$27:$C$29,2,FALSE)*VLOOKUP(I10,Params!$K$12:$N$18,4,FALSE),0)</f>
        <v/>
      </c>
      <c r="G10" s="110" t="inlineStr">
        <is>
          <t>feat(assessment): implement assessment and mock test - test: MockExamServiceTest, AssessmentControllerIntegrationTest, MockExamControllerIntegrationTest</t>
        </is>
      </c>
      <c r="H10" s="110" t="inlineStr">
        <is>
          <t>L2_All Cases</t>
        </is>
      </c>
      <c r="I10" s="110" t="inlineStr">
        <is>
          <t>Level 6</t>
        </is>
      </c>
      <c r="J10" s="111">
        <f>VLOOKUP(I10,Params!$K$12:$O$18,5,FALSE)</f>
        <v/>
      </c>
    </row>
    <row r="11" ht="45" customHeight="1">
      <c r="A11" s="106" t="inlineStr">
        <is>
          <t>Iter2</t>
        </is>
      </c>
      <c r="B11" s="107" t="inlineStr">
        <is>
          <t>Trang Ngữ pháp (Grammar)</t>
        </is>
      </c>
      <c r="C11" s="107" t="inlineStr">
        <is>
          <t>Grammar</t>
        </is>
      </c>
      <c r="D11" s="108" t="inlineStr">
        <is>
          <t>Duyxh</t>
        </is>
      </c>
      <c r="E11" s="108" t="inlineStr">
        <is>
          <t>Done</t>
        </is>
      </c>
      <c r="F11" s="109">
        <f>IF(E11="Done", VLOOKUP(H11,Params!$B$27:$C$29,2,FALSE)*VLOOKUP(I11,Params!$K$12:$N$18,4,FALSE),0)</f>
        <v/>
      </c>
      <c r="G11" s="110" t="inlineStr">
        <is>
          <t>5/10 commit liên quan trang Grammar do Duyxh thực hiện</t>
        </is>
      </c>
      <c r="H11" s="110" t="inlineStr">
        <is>
          <t>L1_Happy Cases</t>
        </is>
      </c>
      <c r="I11" s="110" t="inlineStr">
        <is>
          <t>Level 3</t>
        </is>
      </c>
      <c r="J11" s="111">
        <f>VLOOKUP(I11,Params!$K$12:$O$18,5,FALSE)</f>
        <v/>
      </c>
    </row>
    <row r="12" ht="45" customHeight="1">
      <c r="A12" s="106" t="inlineStr">
        <is>
          <t>Iter2</t>
        </is>
      </c>
      <c r="B12" s="107" t="inlineStr">
        <is>
          <t>Migrate kiến trúc backend sang feature-based</t>
        </is>
      </c>
      <c r="C12" s="107" t="inlineStr">
        <is>
          <t>Refactor hạ tầng</t>
        </is>
      </c>
      <c r="D12" s="108" t="inlineStr">
        <is>
          <t>lanhphung</t>
        </is>
      </c>
      <c r="E12" s="108" t="inlineStr">
        <is>
          <t>Done</t>
        </is>
      </c>
      <c r="F12" s="109">
        <f>IF(E12="Done", VLOOKUP(H12,Params!$B$27:$C$29,2,FALSE)*VLOOKUP(I12,Params!$K$12:$N$18,4,FALSE),0)</f>
        <v/>
      </c>
      <c r="G12" s="110" t="inlineStr">
        <is>
          <t>Công việc cấu trúc/kiến trúc toàn hệ thống, không gắn với 1 màn hình cụ thể - rubric này dành cho screen/function nên áp mức thấp nhất</t>
        </is>
      </c>
      <c r="H12" s="110" t="inlineStr">
        <is>
          <t>L1_Happy Cases</t>
        </is>
      </c>
      <c r="I12" s="110" t="inlineStr">
        <is>
          <t>Level 1</t>
        </is>
      </c>
      <c r="J12" s="111">
        <f>VLOOKUP(I12,Params!$K$12:$O$18,5,FALSE)</f>
        <v/>
      </c>
    </row>
    <row r="13" ht="45" customHeight="1">
      <c r="A13" s="106" t="inlineStr">
        <is>
          <t>Iter3</t>
        </is>
      </c>
      <c r="B13" s="107" t="inlineStr">
        <is>
          <t>Luyện nói &amp; Chấm điểm (UC-13, UC-31)</t>
        </is>
      </c>
      <c r="C13" s="107" t="inlineStr">
        <is>
          <t>Speaking</t>
        </is>
      </c>
      <c r="D13" s="108" t="inlineStr">
        <is>
          <t>MinhPham</t>
        </is>
      </c>
      <c r="E13" s="108" t="inlineStr">
        <is>
          <t>Done</t>
        </is>
      </c>
      <c r="F13" s="109">
        <f>IF(E13="Done", VLOOKUP(H13,Params!$B$27:$C$29,2,FALSE)*VLOOKUP(I13,Params!$K$12:$N$18,4,FALSE),0)</f>
        <v/>
      </c>
      <c r="G13" s="110" t="inlineStr">
        <is>
          <t>Hoàn thiện ghi âm + chấm điểm, sau đó refactor bỏ AI tự chấm chỉ giữ giáo viên chấm</t>
        </is>
      </c>
      <c r="H13" s="110" t="inlineStr">
        <is>
          <t>L1_Happy Cases</t>
        </is>
      </c>
      <c r="I13" s="110" t="inlineStr">
        <is>
          <t>Level 6</t>
        </is>
      </c>
      <c r="J13" s="111">
        <f>VLOOKUP(I13,Params!$K$12:$O$18,5,FALSE)</f>
        <v/>
      </c>
    </row>
    <row r="14" ht="45" customHeight="1">
      <c r="A14" s="106" t="inlineStr">
        <is>
          <t>Iter3</t>
        </is>
      </c>
      <c r="B14" s="107" t="inlineStr">
        <is>
          <t>Migrate database sang MySQL 8 + cloud-native</t>
        </is>
      </c>
      <c r="C14" s="107" t="inlineStr">
        <is>
          <t>Hạ tầng/Deploy</t>
        </is>
      </c>
      <c r="D14" s="108" t="inlineStr">
        <is>
          <t>TienDat-Vna</t>
        </is>
      </c>
      <c r="E14" s="108" t="inlineStr">
        <is>
          <t>Done</t>
        </is>
      </c>
      <c r="F14" s="109">
        <f>IF(E14="Done", VLOOKUP(H14,Params!$B$27:$C$29,2,FALSE)*VLOOKUP(I14,Params!$K$12:$N$18,4,FALSE),0)</f>
        <v/>
      </c>
      <c r="G14" s="110" t="inlineStr">
        <is>
          <t>ADR-009 - công việc hạ tầng, không phải 1 màn hình</t>
        </is>
      </c>
      <c r="H14" s="110" t="inlineStr">
        <is>
          <t>L1_Happy Cases</t>
        </is>
      </c>
      <c r="I14" s="110" t="inlineStr">
        <is>
          <t>Level 1</t>
        </is>
      </c>
      <c r="J14" s="111">
        <f>VLOOKUP(I14,Params!$K$12:$O$18,5,FALSE)</f>
        <v/>
      </c>
    </row>
    <row r="15" ht="45" customHeight="1">
      <c r="A15" s="106" t="inlineStr">
        <is>
          <t>Iter3</t>
        </is>
      </c>
      <c r="B15" s="107" t="inlineStr">
        <is>
          <t>Fix lỗi Kanji (CDN 404, animation nét vẽ)</t>
        </is>
      </c>
      <c r="C15" s="107" t="inlineStr">
        <is>
          <t>Kanji Practice</t>
        </is>
      </c>
      <c r="D15" s="108" t="inlineStr">
        <is>
          <t>TienDat-Vna</t>
        </is>
      </c>
      <c r="E15" s="108" t="inlineStr">
        <is>
          <t>Done</t>
        </is>
      </c>
      <c r="F15" s="109">
        <f>IF(E15="Done", VLOOKUP(H15,Params!$B$27:$C$29,2,FALSE)*VLOOKUP(I15,Params!$K$12:$N$18,4,FALSE),0)</f>
        <v/>
      </c>
      <c r="G15" s="110" t="inlineStr">
        <is>
          <t>8 fix liên quan CDN/stroke animation trong tuần 13-19/07</t>
        </is>
      </c>
      <c r="H15" s="110" t="inlineStr">
        <is>
          <t>L1_Happy Cases</t>
        </is>
      </c>
      <c r="I15" s="110" t="inlineStr">
        <is>
          <t>Level 4</t>
        </is>
      </c>
      <c r="J15" s="111">
        <f>VLOOKUP(I15,Params!$K$12:$O$18,5,FALSE)</f>
        <v/>
      </c>
    </row>
    <row r="16" ht="45" customHeight="1">
      <c r="A16" s="106" t="inlineStr">
        <is>
          <t>Iter3</t>
        </is>
      </c>
      <c r="B16" s="107" t="inlineStr">
        <is>
          <t>Quản lý nội dung đã xoá (ManagerDeletedContent)</t>
        </is>
      </c>
      <c r="C16" s="107" t="inlineStr">
        <is>
          <t>Content Review</t>
        </is>
      </c>
      <c r="D16" s="108" t="inlineStr">
        <is>
          <t>Duyxh</t>
        </is>
      </c>
      <c r="E16" s="108" t="inlineStr">
        <is>
          <t>Done</t>
        </is>
      </c>
      <c r="F16" s="109">
        <f>IF(E16="Done", VLOOKUP(H16,Params!$B$27:$C$29,2,FALSE)*VLOOKUP(I16,Params!$K$12:$N$18,4,FALSE),0)</f>
        <v/>
      </c>
      <c r="G16" s="110" t="inlineStr">
        <is>
          <t>Soft-delete/restore chủ đề từ vựng (StaffManager, UC-33/34)</t>
        </is>
      </c>
      <c r="H16" s="110" t="inlineStr">
        <is>
          <t>L1_Happy Cases</t>
        </is>
      </c>
      <c r="I16" s="110" t="inlineStr">
        <is>
          <t>Level 3</t>
        </is>
      </c>
      <c r="J16" s="111">
        <f>VLOOKUP(I16,Params!$K$12:$O$18,5,FALSE)</f>
        <v/>
      </c>
    </row>
    <row r="17" ht="45" customHeight="1">
      <c r="A17" s="106" t="inlineStr">
        <is>
          <t>Iter3</t>
        </is>
      </c>
      <c r="B17" s="107" t="inlineStr">
        <is>
          <t>Cập nhật luồng Luyện nói cho Staff/StaffManager</t>
        </is>
      </c>
      <c r="C17" s="107" t="inlineStr">
        <is>
          <t>Speaking (Staff)</t>
        </is>
      </c>
      <c r="D17" s="108" t="inlineStr">
        <is>
          <t>hung02042005</t>
        </is>
      </c>
      <c r="E17" s="108" t="inlineStr">
        <is>
          <t>Done</t>
        </is>
      </c>
      <c r="F17" s="109">
        <f>IF(E17="Done", VLOOKUP(H17,Params!$B$27:$C$29,2,FALSE)*VLOOKUP(I17,Params!$K$12:$N$18,4,FALSE),0)</f>
        <v/>
      </c>
      <c r="G17" s="110" t="inlineStr">
        <is>
          <t>Update Speaking_Staff_StaffManager</t>
        </is>
      </c>
      <c r="H17" s="110" t="inlineStr">
        <is>
          <t>L1_Happy Cases</t>
        </is>
      </c>
      <c r="I17" s="110" t="inlineStr">
        <is>
          <t>Level 3</t>
        </is>
      </c>
      <c r="J17" s="111">
        <f>VLOOKUP(I17,Params!$K$12:$O$18,5,FALSE)</f>
        <v/>
      </c>
    </row>
    <row r="18" ht="45" customHeight="1">
      <c r="A18" s="106" t="inlineStr">
        <is>
          <t>Iter3</t>
        </is>
      </c>
      <c r="B18" s="107" t="inlineStr">
        <is>
          <t>Validation input toàn hệ thống (G1-G7)</t>
        </is>
      </c>
      <c r="C18" s="107" t="inlineStr">
        <is>
          <t>Validation hardening</t>
        </is>
      </c>
      <c r="D18" s="108" t="inlineStr">
        <is>
          <t>MinhPham</t>
        </is>
      </c>
      <c r="E18" s="108" t="inlineStr">
        <is>
          <t>Done</t>
        </is>
      </c>
      <c r="F18" s="109">
        <f>IF(E18="Done", VLOOKUP(H18,Params!$B$27:$C$29,2,FALSE)*VLOOKUP(I18,Params!$K$12:$N$18,4,FALSE),0)</f>
        <v/>
      </c>
      <c r="G18" s="110" t="inlineStr">
        <is>
          <t>feat(validation): siết validation L2+L3 cho staff/manager/admin, có catalog lỗi validation</t>
        </is>
      </c>
      <c r="H18" s="110" t="inlineStr">
        <is>
          <t>L2_All Cases</t>
        </is>
      </c>
      <c r="I18" s="110" t="inlineStr">
        <is>
          <t>Level 4</t>
        </is>
      </c>
      <c r="J18" s="111">
        <f>VLOOKUP(I18,Params!$K$12:$O$18,5,FALSE)</f>
        <v/>
      </c>
    </row>
    <row r="19"/>
    <row r="20"/>
    <row r="21"/>
    <row r="22"/>
    <row r="23"/>
    <row r="24"/>
    <row r="25"/>
    <row r="26"/>
    <row r="27"/>
    <row r="28"/>
    <row r="29"/>
  </sheetData>
  <autoFilter ref="A1:C5"/>
  <dataValidations count="1">
    <dataValidation sqref="E2:E5" showDropDown="0" showInputMessage="1" showErrorMessage="1" allowBlank="1" type="list">
      <formula1>"To Do, Doing, Done, Cancelled"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45"/>
  <sheetViews>
    <sheetView showGridLines="0" zoomScale="85" zoomScaleNormal="85" workbookViewId="0">
      <selection activeCell="D8" sqref="D8:E8"/>
    </sheetView>
  </sheetViews>
  <sheetFormatPr baseColWidth="8" defaultColWidth="9.07421875" defaultRowHeight="14.6"/>
  <cols>
    <col width="3.3046875" customWidth="1" style="23" min="1" max="1"/>
    <col width="23.15234375" customWidth="1" style="23" min="2" max="2"/>
    <col width="8.15234375" customWidth="1" style="23" min="3" max="3"/>
    <col width="10.15234375" customWidth="1" style="23" min="4" max="4"/>
    <col width="9.23046875" customWidth="1" style="23" min="5" max="5"/>
    <col width="9.07421875" customWidth="1" style="23" min="6" max="6"/>
    <col width="9.61328125" customWidth="1" style="23" min="7" max="7"/>
    <col width="9.07421875" customWidth="1" style="23" min="8" max="12"/>
    <col width="6.84375" bestFit="1" customWidth="1" style="23" min="13" max="13"/>
    <col width="6.4609375" customWidth="1" style="23" min="14" max="14"/>
    <col width="9.07421875" customWidth="1" style="23" min="15" max="15"/>
    <col width="18.23046875" customWidth="1" style="23" min="16" max="16"/>
    <col width="9.07421875" customWidth="1" style="23" min="17" max="16384"/>
  </cols>
  <sheetData>
    <row r="1">
      <c r="B1" s="76" t="inlineStr">
        <is>
          <t>Item</t>
        </is>
      </c>
      <c r="C1" s="77" t="inlineStr">
        <is>
          <t>Failed</t>
        </is>
      </c>
      <c r="D1" s="85" t="inlineStr">
        <is>
          <t>Normal Cases</t>
        </is>
      </c>
      <c r="E1" s="112" t="n"/>
      <c r="F1" s="113" t="n"/>
      <c r="G1" s="77" t="inlineStr">
        <is>
          <t>Best Case</t>
        </is>
      </c>
      <c r="H1" s="86" t="inlineStr">
        <is>
          <t>Notes</t>
        </is>
      </c>
      <c r="I1" s="112" t="n"/>
      <c r="J1" s="112" t="n"/>
      <c r="K1" s="112" t="n"/>
      <c r="L1" s="113" t="n"/>
    </row>
    <row r="2">
      <c r="B2" s="78" t="inlineStr">
        <is>
          <t>No of screens/functions</t>
        </is>
      </c>
      <c r="C2" s="25" t="n">
        <v>4</v>
      </c>
      <c r="D2" s="25" t="n">
        <v>5</v>
      </c>
      <c r="E2" s="25" t="n">
        <v>6</v>
      </c>
      <c r="F2" s="25" t="n">
        <v>7</v>
      </c>
      <c r="G2" s="25" t="n">
        <v>8</v>
      </c>
      <c r="H2" s="83" t="inlineStr">
        <is>
          <t>Tổng số screens/functions hoàn thiện đủ happy cases</t>
        </is>
      </c>
      <c r="I2" s="114" t="n"/>
      <c r="J2" s="114" t="n"/>
      <c r="K2" s="114" t="n"/>
      <c r="L2" s="115" t="n"/>
    </row>
    <row r="3">
      <c r="B3" s="78" t="inlineStr">
        <is>
          <t xml:space="preserve">Maximum LOC (C) </t>
        </is>
      </c>
      <c r="C3" s="24">
        <f>C2*1/3*90+C2*1/3*120+C2*1/3*150</f>
        <v/>
      </c>
      <c r="D3" s="24">
        <f>D2*1/3*90+D2*1/3*120+D2*1/3*150</f>
        <v/>
      </c>
      <c r="E3" s="24">
        <f>E2*1/3*90+E2*1/3*120+E2*1/3*150</f>
        <v/>
      </c>
      <c r="F3" s="24">
        <f>F2*1/3*90+F2*1/3*120+F2*1/3*150</f>
        <v/>
      </c>
      <c r="G3" s="24">
        <f>G2*1/3*90+G2*1/3*120+G2*1/3*150</f>
        <v/>
      </c>
      <c r="H3" s="83" t="inlineStr">
        <is>
          <t>Số LOC quy đổi (L2-3-4 = 33%, 33%, 33%)</t>
        </is>
      </c>
      <c r="I3" s="114" t="n"/>
      <c r="J3" s="114" t="n"/>
      <c r="K3" s="114" t="n"/>
      <c r="L3" s="115" t="n"/>
    </row>
    <row r="4">
      <c r="B4" s="78" t="inlineStr">
        <is>
          <t>Quality Level (Q)</t>
        </is>
      </c>
      <c r="C4" s="26" t="n">
        <v>0.5</v>
      </c>
      <c r="D4" s="26" t="n">
        <v>0.5</v>
      </c>
      <c r="E4" s="26" t="n">
        <v>0.75</v>
      </c>
      <c r="F4" s="26" t="n">
        <v>0.75</v>
      </c>
      <c r="G4" s="26" t="n">
        <v>0.75</v>
      </c>
      <c r="H4" s="83" t="inlineStr">
        <is>
          <t>Chất lượng màn hình/chức năng**</t>
        </is>
      </c>
      <c r="I4" s="114" t="n"/>
      <c r="J4" s="114" t="n"/>
      <c r="K4" s="114" t="n"/>
      <c r="L4" s="115" t="n"/>
    </row>
    <row r="5">
      <c r="B5" s="78" t="inlineStr">
        <is>
          <t>Evaluated LOC</t>
        </is>
      </c>
      <c r="C5" s="24">
        <f>C3*C4</f>
        <v/>
      </c>
      <c r="D5" s="24">
        <f>D3*D4</f>
        <v/>
      </c>
      <c r="E5" s="24">
        <f>E3*E4</f>
        <v/>
      </c>
      <c r="F5" s="24">
        <f>F3*F4</f>
        <v/>
      </c>
      <c r="G5" s="24">
        <f>G3*G4</f>
        <v/>
      </c>
      <c r="H5" s="83" t="inlineStr">
        <is>
          <t>Số LOC đạt được (LOC = C*Q)</t>
        </is>
      </c>
      <c r="I5" s="114" t="n"/>
      <c r="J5" s="114" t="n"/>
      <c r="K5" s="114" t="n"/>
      <c r="L5" s="115" t="n"/>
    </row>
    <row r="6">
      <c r="B6" s="78" t="inlineStr">
        <is>
          <t>LOC Grade (LG)</t>
        </is>
      </c>
      <c r="C6" s="116">
        <f>C5/660*10</f>
        <v/>
      </c>
      <c r="D6" s="116">
        <f>D5/660*10</f>
        <v/>
      </c>
      <c r="E6" s="116">
        <f>E5/660*10</f>
        <v/>
      </c>
      <c r="F6" s="116">
        <f>F5/660*10</f>
        <v/>
      </c>
      <c r="G6" s="116">
        <f>G5/660*10</f>
        <v/>
      </c>
      <c r="H6" s="28" t="n">
        <v>0.7</v>
      </c>
      <c r="I6" s="117" t="inlineStr">
        <is>
          <t>Tỷ trọng điểm LOC</t>
        </is>
      </c>
      <c r="J6" s="114" t="n"/>
      <c r="K6" s="114" t="n"/>
      <c r="L6" s="115" t="n"/>
    </row>
    <row r="7" ht="15" customHeight="1" thickBot="1">
      <c r="B7" s="79" t="inlineStr">
        <is>
          <t>Non-LOC Grade (Pkg)</t>
        </is>
      </c>
      <c r="C7" s="80" t="n">
        <v>6</v>
      </c>
      <c r="D7" s="80" t="n">
        <v>6</v>
      </c>
      <c r="E7" s="80" t="n">
        <v>7</v>
      </c>
      <c r="F7" s="80" t="n">
        <v>7</v>
      </c>
      <c r="G7" s="80" t="n">
        <v>8</v>
      </c>
      <c r="H7" s="81" t="n">
        <v>0.3</v>
      </c>
      <c r="I7" s="92" t="inlineStr">
        <is>
          <t>Tỷ trọng điểm quy trình, material liên quan..</t>
        </is>
      </c>
      <c r="J7" s="118" t="n"/>
      <c r="K7" s="118" t="n"/>
      <c r="L7" s="119" t="n"/>
    </row>
    <row r="8">
      <c r="B8" s="82" t="inlineStr">
        <is>
          <t>ĐIỂM ĐÁNH GIÁ (/10)</t>
        </is>
      </c>
      <c r="C8" s="120">
        <f>C6*$H$6+C7*$H$7</f>
        <v/>
      </c>
      <c r="D8" s="120">
        <f>D6*$H$6+D7*$H$7</f>
        <v/>
      </c>
      <c r="E8" s="120">
        <f>E6*$H$6+E7*$H$7</f>
        <v/>
      </c>
      <c r="F8" s="120">
        <f>F6*$H$6+F7*$H$7</f>
        <v/>
      </c>
      <c r="G8" s="120">
        <f>G6*$H$6+G7*$H$7</f>
        <v/>
      </c>
      <c r="H8" s="120" t="n"/>
      <c r="I8" s="120" t="n"/>
    </row>
    <row r="9">
      <c r="B9" s="30" t="n"/>
      <c r="C9" s="121" t="n"/>
      <c r="D9" s="121" t="n"/>
      <c r="E9" s="121" t="n"/>
      <c r="F9" s="121" t="n"/>
      <c r="G9" s="121" t="n"/>
      <c r="H9" s="121" t="n"/>
      <c r="I9" s="121" t="n"/>
    </row>
    <row r="10" ht="18.45" customHeight="1">
      <c r="B10" s="50" t="inlineStr">
        <is>
          <t>Converted LOC (for each of the complexity levels)</t>
        </is>
      </c>
    </row>
    <row r="11">
      <c r="B11" s="71" t="inlineStr">
        <is>
          <t>Complexity Level</t>
        </is>
      </c>
      <c r="C11" s="72" t="inlineStr">
        <is>
          <t>Level 1</t>
        </is>
      </c>
      <c r="D11" s="73" t="inlineStr">
        <is>
          <t>Level 2</t>
        </is>
      </c>
      <c r="E11" s="73" t="inlineStr">
        <is>
          <t>Level 3</t>
        </is>
      </c>
      <c r="F11" s="73" t="inlineStr">
        <is>
          <t>Level 4</t>
        </is>
      </c>
      <c r="G11" s="73" t="inlineStr">
        <is>
          <t>Level 5</t>
        </is>
      </c>
      <c r="H11" s="73" t="inlineStr">
        <is>
          <t>Level 6</t>
        </is>
      </c>
      <c r="I11" s="73" t="inlineStr">
        <is>
          <t>Level 7</t>
        </is>
      </c>
      <c r="K11" s="74" t="inlineStr">
        <is>
          <t>Level</t>
        </is>
      </c>
      <c r="L11" s="74" t="inlineStr">
        <is>
          <t>Fields</t>
        </is>
      </c>
      <c r="M11" s="74" t="inlineStr">
        <is>
          <t>Trans*</t>
        </is>
      </c>
      <c r="N11" s="74" t="inlineStr">
        <is>
          <t>LOC</t>
        </is>
      </c>
      <c r="O11" s="94" t="inlineStr">
        <is>
          <t>Notes</t>
        </is>
      </c>
      <c r="P11" s="115" t="n"/>
    </row>
    <row r="12">
      <c r="B12" s="33" t="inlineStr">
        <is>
          <t>Converted LOC</t>
        </is>
      </c>
      <c r="C12" s="24" t="n">
        <v>60</v>
      </c>
      <c r="D12" s="34" t="n">
        <v>90</v>
      </c>
      <c r="E12" s="34" t="n">
        <v>120</v>
      </c>
      <c r="F12" s="34" t="n">
        <v>150</v>
      </c>
      <c r="G12" s="34" t="n">
        <v>180</v>
      </c>
      <c r="H12" s="35" t="n">
        <v>210</v>
      </c>
      <c r="I12" s="36" t="n">
        <v>240</v>
      </c>
      <c r="K12" s="37" t="inlineStr">
        <is>
          <t>Level 1</t>
        </is>
      </c>
      <c r="L12" s="41" t="inlineStr">
        <is>
          <t>3-5</t>
        </is>
      </c>
      <c r="M12" s="44" t="n">
        <v>2</v>
      </c>
      <c r="N12" s="44" t="n">
        <v>60</v>
      </c>
      <c r="O12" s="95">
        <f>L12 &amp; " fields OR " &amp; M12 &amp; " trans"</f>
        <v/>
      </c>
      <c r="P12" s="115" t="n"/>
    </row>
    <row r="13">
      <c r="K13" s="37" t="inlineStr">
        <is>
          <t>Level 2</t>
        </is>
      </c>
      <c r="L13" s="41" t="inlineStr">
        <is>
          <t>6-7</t>
        </is>
      </c>
      <c r="M13" s="44" t="n">
        <v>3</v>
      </c>
      <c r="N13" s="44" t="n">
        <v>90</v>
      </c>
      <c r="O13" s="95">
        <f>L13 &amp; " fields OR " &amp; M13 &amp; " trans"</f>
        <v/>
      </c>
      <c r="P13" s="115" t="n"/>
    </row>
    <row r="14" ht="18.45" customHeight="1">
      <c r="B14" s="50" t="inlineStr">
        <is>
          <t>Screen/Function Complexity Levels</t>
        </is>
      </c>
      <c r="K14" s="37" t="inlineStr">
        <is>
          <t>Level 3</t>
        </is>
      </c>
      <c r="L14" s="41" t="inlineStr">
        <is>
          <t>8-9</t>
        </is>
      </c>
      <c r="M14" s="44" t="n">
        <v>4</v>
      </c>
      <c r="N14" s="44" t="n">
        <v>120</v>
      </c>
      <c r="O14" s="95">
        <f>L14 &amp; " fields OR " &amp; M14 &amp; " trans"</f>
        <v/>
      </c>
      <c r="P14" s="115" t="n"/>
    </row>
    <row r="15">
      <c r="B15" s="40" t="inlineStr">
        <is>
          <t>Screen complexity can be defined based on the screen's fields OR screen/function's transactions</t>
        </is>
      </c>
      <c r="K15" s="37" t="inlineStr">
        <is>
          <t>Level 4</t>
        </is>
      </c>
      <c r="L15" s="41" t="inlineStr">
        <is>
          <t>10-11</t>
        </is>
      </c>
      <c r="M15" s="44" t="n">
        <v>5</v>
      </c>
      <c r="N15" s="44" t="n">
        <v>150</v>
      </c>
      <c r="O15" s="95">
        <f>L15 &amp; " fields OR " &amp; M15 &amp; " trans"</f>
        <v/>
      </c>
      <c r="P15" s="115" t="n"/>
    </row>
    <row r="16">
      <c r="B16" s="43" t="inlineStr">
        <is>
          <t>- Transactions can be counted as number of transactions to the database or external systems/subsystems</t>
        </is>
      </c>
      <c r="K16" s="37" t="inlineStr">
        <is>
          <t>Level 5</t>
        </is>
      </c>
      <c r="L16" s="41" t="inlineStr">
        <is>
          <t>12-13</t>
        </is>
      </c>
      <c r="M16" s="44" t="n">
        <v>6</v>
      </c>
      <c r="N16" s="44" t="n">
        <v>180</v>
      </c>
      <c r="O16" s="95">
        <f>L16 &amp; " fields OR " &amp; M16 &amp; " trans"</f>
        <v/>
      </c>
      <c r="P16" s="115" t="n"/>
    </row>
    <row r="17">
      <c r="B17" s="43" t="inlineStr">
        <is>
          <t>- Fields are screen's actionable components or database table fields; if there are some transactions those are</t>
        </is>
      </c>
      <c r="K17" s="37" t="inlineStr">
        <is>
          <t>Level 6</t>
        </is>
      </c>
      <c r="L17" s="41" t="inlineStr">
        <is>
          <t>14-15</t>
        </is>
      </c>
      <c r="M17" s="44" t="n">
        <v>7</v>
      </c>
      <c r="N17" s="44" t="n">
        <v>210</v>
      </c>
      <c r="O17" s="95">
        <f>L17 &amp; " fields OR " &amp; M17 &amp; " trans"</f>
        <v/>
      </c>
      <c r="P17" s="115" t="n"/>
    </row>
    <row r="18">
      <c r="B18" s="40" t="inlineStr">
        <is>
          <t xml:space="preserve">  not "related" to any fields, each of those transactions are counted as two fields and add those extra number </t>
        </is>
      </c>
      <c r="K18" s="37" t="inlineStr">
        <is>
          <t>Level 7</t>
        </is>
      </c>
      <c r="L18" s="44" t="inlineStr">
        <is>
          <t>&gt;15</t>
        </is>
      </c>
      <c r="M18" s="44" t="inlineStr">
        <is>
          <t>&gt;7</t>
        </is>
      </c>
      <c r="N18" s="44" t="n">
        <v>240</v>
      </c>
      <c r="O18" s="95">
        <f>L18 &amp; " fields OR " &amp; M18 &amp; " trans"</f>
        <v/>
      </c>
      <c r="P18" s="115" t="n"/>
    </row>
    <row r="19">
      <c r="B19" s="40" t="inlineStr">
        <is>
          <t xml:space="preserve">  to the total number of fields to define the screen/function complexity</t>
        </is>
      </c>
      <c r="K19" s="23" t="inlineStr">
        <is>
          <t>*One trans (transactions) = Two fields (actionable screen components)</t>
        </is>
      </c>
    </row>
    <row r="20">
      <c r="B20" s="75" t="inlineStr">
        <is>
          <t>Complexity Level</t>
        </is>
      </c>
      <c r="C20" s="72" t="inlineStr">
        <is>
          <t>Level 1</t>
        </is>
      </c>
      <c r="D20" s="73" t="inlineStr">
        <is>
          <t>Level 2</t>
        </is>
      </c>
      <c r="E20" s="73" t="inlineStr">
        <is>
          <t>Level 3</t>
        </is>
      </c>
      <c r="F20" s="73" t="inlineStr">
        <is>
          <t>Level 4</t>
        </is>
      </c>
      <c r="G20" s="73" t="inlineStr">
        <is>
          <t>Level 5</t>
        </is>
      </c>
      <c r="H20" s="73" t="inlineStr">
        <is>
          <t>Level 6</t>
        </is>
      </c>
      <c r="I20" s="73" t="inlineStr">
        <is>
          <t>Level 7</t>
        </is>
      </c>
    </row>
    <row r="21">
      <c r="B21" s="88" t="inlineStr">
        <is>
          <t>No of transactions 
(to database, external,..)</t>
        </is>
      </c>
      <c r="C21" s="41" t="n">
        <v>2</v>
      </c>
      <c r="D21" s="41" t="n">
        <v>3</v>
      </c>
      <c r="E21" s="41" t="n">
        <v>4</v>
      </c>
      <c r="F21" s="41" t="n">
        <v>5</v>
      </c>
      <c r="G21" s="41" t="n">
        <v>6</v>
      </c>
      <c r="H21" s="41" t="n">
        <v>7</v>
      </c>
      <c r="I21" s="44" t="inlineStr">
        <is>
          <t>&gt;7</t>
        </is>
      </c>
    </row>
    <row r="22">
      <c r="B22" s="122" t="n"/>
      <c r="C22" s="89" t="inlineStr">
        <is>
          <t>One transaction can be converted as two actionable fields</t>
        </is>
      </c>
      <c r="D22" s="114" t="n"/>
      <c r="E22" s="114" t="n"/>
      <c r="F22" s="114" t="n"/>
      <c r="G22" s="114" t="n"/>
      <c r="H22" s="114" t="n"/>
      <c r="I22" s="115" t="n"/>
    </row>
    <row r="23">
      <c r="B23" s="45" t="inlineStr">
        <is>
          <t>OR: no of fields</t>
        </is>
      </c>
      <c r="C23" s="46" t="inlineStr">
        <is>
          <t>3-5</t>
        </is>
      </c>
      <c r="D23" s="47" t="inlineStr">
        <is>
          <t>6-7</t>
        </is>
      </c>
      <c r="E23" s="46" t="inlineStr">
        <is>
          <t>8-9</t>
        </is>
      </c>
      <c r="F23" s="46" t="inlineStr">
        <is>
          <t>10-11</t>
        </is>
      </c>
      <c r="G23" s="46" t="inlineStr">
        <is>
          <t>12-13</t>
        </is>
      </c>
      <c r="H23" s="46" t="inlineStr">
        <is>
          <t>14-15</t>
        </is>
      </c>
      <c r="I23" s="46" t="inlineStr">
        <is>
          <t>&gt;15</t>
        </is>
      </c>
    </row>
    <row r="25" ht="18.45" customHeight="1">
      <c r="B25" s="50" t="inlineStr">
        <is>
          <t>Screen/Function Quality Levels &amp; LOC Evaluation Rate</t>
        </is>
      </c>
    </row>
    <row r="26">
      <c r="B26" s="75" t="inlineStr">
        <is>
          <t>Level</t>
        </is>
      </c>
      <c r="C26" s="72" t="inlineStr">
        <is>
          <t>Rate</t>
        </is>
      </c>
      <c r="D26" s="96" t="inlineStr">
        <is>
          <t>Notes</t>
        </is>
      </c>
      <c r="E26" s="114" t="n"/>
      <c r="F26" s="114" t="n"/>
      <c r="G26" s="114" t="n"/>
      <c r="H26" s="114" t="n"/>
      <c r="I26" s="114" t="n"/>
      <c r="J26" s="114" t="n"/>
      <c r="K26" s="115" t="n"/>
    </row>
    <row r="27">
      <c r="B27" s="48" t="inlineStr">
        <is>
          <t>L1_Happy Cases</t>
        </is>
      </c>
      <c r="C27" s="49" t="n">
        <v>0.5</v>
      </c>
      <c r="D27" s="95" t="inlineStr">
        <is>
          <t>The screen/function is workable, all happy cases are included</t>
        </is>
      </c>
      <c r="E27" s="114" t="n"/>
      <c r="F27" s="114" t="n"/>
      <c r="G27" s="114" t="n"/>
      <c r="H27" s="114" t="n"/>
      <c r="I27" s="114" t="n"/>
      <c r="J27" s="114" t="n"/>
      <c r="K27" s="115" t="n"/>
    </row>
    <row r="28">
      <c r="B28" s="48" t="inlineStr">
        <is>
          <t>L2_All Cases</t>
        </is>
      </c>
      <c r="C28" s="49" t="n">
        <v>0.75</v>
      </c>
      <c r="D28" s="95" t="inlineStr">
        <is>
          <t>The screen/function is workable with both happy and unhappy cases included</t>
        </is>
      </c>
      <c r="E28" s="114" t="n"/>
      <c r="F28" s="114" t="n"/>
      <c r="G28" s="114" t="n"/>
      <c r="H28" s="114" t="n"/>
      <c r="I28" s="114" t="n"/>
      <c r="J28" s="114" t="n"/>
      <c r="K28" s="115" t="n"/>
    </row>
    <row r="29" ht="25.95" customHeight="1">
      <c r="B29" s="48" t="inlineStr">
        <is>
          <t>L3_Optimized</t>
        </is>
      </c>
      <c r="C29" s="49" t="n">
        <v>1</v>
      </c>
      <c r="D29" s="97" t="inlineStr">
        <is>
          <t>All happy &amp; unhappy cases included + the function/screen is optimized in term of UX and
and business logics (suitability to real-world use cases)</t>
        </is>
      </c>
      <c r="E29" s="114" t="n"/>
      <c r="F29" s="114" t="n"/>
      <c r="G29" s="114" t="n"/>
      <c r="H29" s="114" t="n"/>
      <c r="I29" s="114" t="n"/>
      <c r="J29" s="114" t="n"/>
      <c r="K29" s="115" t="n"/>
    </row>
    <row r="31" ht="18.45" customHeight="1">
      <c r="B31" s="50" t="inlineStr">
        <is>
          <t>Some samples of screen complexity defining are as following</t>
        </is>
      </c>
    </row>
    <row r="32">
      <c r="B32" s="51" t="inlineStr">
        <is>
          <t>Sample #1</t>
        </is>
      </c>
      <c r="K32" s="51" t="inlineStr">
        <is>
          <t>Sample #2</t>
        </is>
      </c>
    </row>
    <row r="45">
      <c r="B45" s="51" t="inlineStr">
        <is>
          <t>Sample #3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05B"/>
  <mergeCells count="22">
    <mergeCell ref="D26:K26"/>
    <mergeCell ref="H1:L1"/>
    <mergeCell ref="O15:P15"/>
    <mergeCell ref="O18:P18"/>
    <mergeCell ref="H4:L4"/>
    <mergeCell ref="I6:L6"/>
    <mergeCell ref="D27:K27"/>
    <mergeCell ref="O16:P16"/>
    <mergeCell ref="H2:L2"/>
    <mergeCell ref="D28:K28"/>
    <mergeCell ref="I7:L7"/>
    <mergeCell ref="D1:F1"/>
    <mergeCell ref="O12:P12"/>
    <mergeCell ref="O17:P17"/>
    <mergeCell ref="C22:I22"/>
    <mergeCell ref="H3:L3"/>
    <mergeCell ref="O11:P11"/>
    <mergeCell ref="O14:P14"/>
    <mergeCell ref="D29:K29"/>
    <mergeCell ref="H5:L5"/>
    <mergeCell ref="B21:B22"/>
    <mergeCell ref="O13:P1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 Thi Thoa (FHO.PID)</dc:creator>
  <dcterms:created xmlns:dcterms="http://purl.org/dc/terms/" xmlns:xsi="http://www.w3.org/2001/XMLSchema-instance" xsi:type="dcterms:W3CDTF">2021-04-10T11:59:00Z</dcterms:created>
  <dcterms:modified xmlns:dcterms="http://purl.org/dc/terms/" xmlns:xsi="http://www.w3.org/2001/XMLSchema-instance" xsi:type="dcterms:W3CDTF">2026-07-22T19:04:45Z</dcterms:modified>
  <cp:lastModifiedBy>Kien Nguyen Trung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1033-3.2.0.6442</vt:lpwstr>
  </property>
</Properties>
</file>