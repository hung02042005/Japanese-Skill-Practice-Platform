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LIST" sheetId="1" r:id="rId1"/>
    <sheet name="Team" sheetId="2" r:id="rId2"/>
    <sheet name="Params" sheetId="3" r:id="rId3"/>
  </sheets>
  <definedNames>
    <definedName name="_xlnm._FilterDatabase" localSheetId="0" hidden="1">LIST!$A$1:$E$15</definedName>
    <definedName name="_xlnm._FilterDatabase" localSheetId="1" hidden="1">Team!$A$1:$C$18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kiennt</author>
    <author>Microsoft Office User</author>
    <author>KienNT</author>
  </authors>
  <commentList>
    <comment ref="D1" authorId="0">
      <text>
        <r>
          <rPr>
            <sz val="10"/>
            <rFont val="SimSun"/>
            <charset val="134"/>
          </rPr>
          <t>kiennt:
Group?</t>
        </r>
      </text>
    </comment>
    <comment ref="E1" authorId="0">
      <text>
        <r>
          <rPr>
            <sz val="10"/>
            <rFont val="SimSun"/>
            <charset val="134"/>
          </rPr>
          <t>kiennt:
Team Leader?</t>
        </r>
      </text>
    </comment>
    <comment ref="G1" authorId="1">
      <text>
        <r>
          <rPr>
            <sz val="10"/>
            <rFont val="SimSun"/>
            <charset val="134"/>
          </rPr>
          <t>KienNT:
Ongoing Grade</t>
        </r>
      </text>
    </comment>
    <comment ref="I1" authorId="0">
      <text>
        <r>
          <rPr>
            <sz val="10"/>
            <rFont val="SimSun"/>
            <charset val="134"/>
          </rPr>
          <t>kiennt:
Scope: &gt;= 15 pages, &gt;= 12 user cases, &gt;= 8 entities
Outputs:
1. Requirement Overview
- Context Diagram
- Main Business Processes (Workflow)
- Use Case Diagrams
- System Functionalities: 
  + Screen Flow
  + Screen Authorization
  + Non-UI Functions
- Entity Relatioship Diagram
- Stage Transition Diagrams
2. Functional Requirements
- Screen Mockups
- Screen-UC Mappings</t>
        </r>
      </text>
    </comment>
    <comment ref="K1" authorId="0">
      <text>
        <r>
          <rPr>
            <sz val="10"/>
            <rFont val="SimSun"/>
            <charset val="134"/>
          </rPr>
          <t>Scope: &gt;=10 tables
Outputs:
1. High Level Design
- Software Architecture
- Package Diagram
- Database Design
2. Detailed Design
- Stage Transition Diagrams
- POC: Class &amp; Sequence Diagram</t>
        </r>
      </text>
    </comment>
    <comment ref="M1" authorId="2">
      <text>
        <r>
          <rPr>
            <sz val="10"/>
            <rFont val="SimSun"/>
            <charset val="134"/>
          </rPr>
          <t>KienNT:
1. AI Logs: each member &gt;=3 logs
2. Weekly Reports: each member &gt;=2 reports</t>
        </r>
      </text>
    </comment>
    <comment ref="N1" authorId="2">
      <text>
        <r>
          <rPr>
            <sz val="10"/>
            <rFont val="SimSun"/>
            <charset val="134"/>
          </rPr>
          <t xml:space="preserve">KienNT:
Taken from the team's LOC Evaluation Spreadsheet (Gx)
</t>
        </r>
      </text>
    </comment>
    <comment ref="P1" authorId="2">
      <text>
        <r>
          <rPr>
            <sz val="10"/>
            <rFont val="SimSun"/>
            <charset val="134"/>
          </rPr>
          <t xml:space="preserve">KienNT:
Requirement Outputs:
- Update for the Iter1 outputs
- Detailed Descriptions for the Iter2 screens
Design Outputs:
- Update for the Iter1 outputs
- Database Design &amp; Description (&gt;= 10 tables)
- Code Design: design code following the defined high level design, OO design practices &amp; standard/chosen coding standards
</t>
        </r>
      </text>
    </comment>
    <comment ref="R1" authorId="0">
      <text>
        <r>
          <rPr>
            <sz val="10"/>
            <rFont val="SimSun"/>
            <charset val="134"/>
          </rPr>
          <t xml:space="preserve">Outputs:
1. AI Logs: each member &gt;=5 logs for coding &amp; debugging
2. Git commits: each members &gt;= 8 code commits
3. Weekly Reports: each member &gt;=3 reports
</t>
        </r>
      </text>
    </comment>
    <comment ref="T1" authorId="2">
      <text>
        <r>
          <rPr>
            <sz val="10"/>
            <rFont val="SimSun"/>
            <charset val="134"/>
          </rPr>
          <t>KienNT:
LOC's Converted Grade</t>
        </r>
      </text>
    </comment>
    <comment ref="U1" authorId="2">
      <text>
        <r>
          <rPr>
            <sz val="10"/>
            <rFont val="SimSun"/>
            <charset val="134"/>
          </rPr>
          <t xml:space="preserve">KienNT:
Taken from the team's LOC Evaluation Spreadsheet (Gx)
</t>
        </r>
      </text>
    </comment>
    <comment ref="W1" authorId="2">
      <text>
        <r>
          <rPr>
            <sz val="10"/>
            <rFont val="SimSun"/>
            <charset val="134"/>
          </rPr>
          <t>KienNT:
Requirement Outputs:
- Update for the Iter1&amp;2 outputs
- Detailed Descriptions for the Iter3 screens
Design Outputs:
- Update for the Iter1&amp;2 outputs
- Database Design &amp; Description (&gt;= 10 tables)
- Code Design: design code following the defined high level design, OO design practices &amp; standard/chosen coding standards</t>
        </r>
      </text>
    </comment>
    <comment ref="Y1" authorId="0">
      <text>
        <r>
          <rPr>
            <sz val="10"/>
            <rFont val="SimSun"/>
            <charset val="134"/>
          </rPr>
          <t xml:space="preserve">Outputs:
1. Integration Test Evidences: screen shots &amp; descriptions for all the functional tests that students have executed on each of the student's completed screens
2. System Test Cases: &gt;=25 test cases that the student team have designed &amp; executed on the business processes that the team have implemented on their product.
3. System Test Evidences: screen shots &amp; descriptions for all the system tests that student teams have executed on each of the business processes that they have implemented.
</t>
        </r>
      </text>
    </comment>
    <comment ref="AA1" authorId="0">
      <text>
        <r>
          <rPr>
            <sz val="10"/>
            <rFont val="SimSun"/>
            <charset val="134"/>
          </rPr>
          <t xml:space="preserve">Outputs:
1. AI Logs: each member &gt;=5 logs for debugging &amp; testing
2. Git commits: each members &gt;= 6 code commits
</t>
        </r>
      </text>
    </comment>
    <comment ref="AC1" authorId="2">
      <text>
        <r>
          <rPr>
            <sz val="10"/>
            <rFont val="SimSun"/>
            <charset val="134"/>
          </rPr>
          <t>KienNT:
LOC's Converted Grade</t>
        </r>
      </text>
    </comment>
    <comment ref="AD1" authorId="2">
      <text>
        <r>
          <rPr>
            <sz val="10"/>
            <rFont val="SimSun"/>
            <charset val="134"/>
          </rPr>
          <t xml:space="preserve">KienNT:
Taken from the team's LOC Evaluation Spreadsheet (Gx)
</t>
        </r>
      </text>
    </comment>
  </commentList>
</comments>
</file>

<file path=xl/sharedStrings.xml><?xml version="1.0" encoding="utf-8"?>
<sst xmlns="http://schemas.openxmlformats.org/spreadsheetml/2006/main" count="289" uniqueCount="156">
  <si>
    <t>Full_name</t>
  </si>
  <si>
    <t>Roll_number</t>
  </si>
  <si>
    <t>Email Account</t>
  </si>
  <si>
    <t>Gx</t>
  </si>
  <si>
    <t>TL?</t>
  </si>
  <si>
    <t>Notes</t>
  </si>
  <si>
    <t>OG</t>
  </si>
  <si>
    <t>Iter1</t>
  </si>
  <si>
    <t>Req</t>
  </si>
  <si>
    <t>Requirement (Req) Comments</t>
  </si>
  <si>
    <t>Design</t>
  </si>
  <si>
    <t>Design Comments</t>
  </si>
  <si>
    <t>Process1</t>
  </si>
  <si>
    <t>Process1 Comments</t>
  </si>
  <si>
    <t>Iter2</t>
  </si>
  <si>
    <t>R&amp;D</t>
  </si>
  <si>
    <t>Requirement &amp; Design (R&amp;D) Comments</t>
  </si>
  <si>
    <t>Process2</t>
  </si>
  <si>
    <t>Process2 Comments</t>
  </si>
  <si>
    <t>LG2</t>
  </si>
  <si>
    <t>LOC2</t>
  </si>
  <si>
    <t>Iter3</t>
  </si>
  <si>
    <t>Testing</t>
  </si>
  <si>
    <t>Testing Comments</t>
  </si>
  <si>
    <t>Process3</t>
  </si>
  <si>
    <t>Process3 Comments</t>
  </si>
  <si>
    <t>TienDat-Vna</t>
  </si>
  <si>
    <t>TODO: MSSV</t>
  </si>
  <si>
    <t>Team 3</t>
  </si>
  <si>
    <t>TODO: MSSV thật (chưa có trong repo). Điểm Design/R&amp;D/Process/Testing là GỢI Ý AI dựa trên số commit + độ phức tạp tính năng thật trong repo - cần leader/giảng viên xác nhận lại trước khi dùng làm điểm chính thức.</t>
  </si>
  <si>
    <t>MinhPham</t>
  </si>
  <si>
    <t>hung02042005</t>
  </si>
  <si>
    <t>Duyxh</t>
  </si>
  <si>
    <t>lanhphung</t>
  </si>
  <si>
    <t>IterX</t>
  </si>
  <si>
    <t>Screen/Function</t>
  </si>
  <si>
    <t>Feature</t>
  </si>
  <si>
    <t>In Charge</t>
  </si>
  <si>
    <t>Status</t>
  </si>
  <si>
    <t>LOC</t>
  </si>
  <si>
    <t>Demo Comments</t>
  </si>
  <si>
    <t>Quality</t>
  </si>
  <si>
    <t>Complexity</t>
  </si>
  <si>
    <t>Complexity Check</t>
  </si>
  <si>
    <t>Đăng nhập / Đăng ký / Quên mật khẩu (API)</t>
  </si>
  <si>
    <t>Authentication</t>
  </si>
  <si>
    <t>Done</t>
  </si>
  <si>
    <t>JWT + Admin 2FA + soft-delete logout, nhiều role - test: AuthControllerIntegrationTest, AuthenticationServiceTest</t>
  </si>
  <si>
    <t>L2_All Cases</t>
  </si>
  <si>
    <t>Level 5</t>
  </si>
  <si>
    <t>Trang Đăng nhập / Đăng ký (FE)</t>
  </si>
  <si>
    <t>Authentication UI</t>
  </si>
  <si>
    <t>login/forgetpassword/register FE ban đầu</t>
  </si>
  <si>
    <t>L1_Happy Cases</t>
  </si>
  <si>
    <t>Level 3</t>
  </si>
  <si>
    <t>Trang chủ (Homepage)</t>
  </si>
  <si>
    <t>Marketing/Home</t>
  </si>
  <si>
    <t>UI homepage + spec thiết kế FE</t>
  </si>
  <si>
    <t>Level 2</t>
  </si>
  <si>
    <t>Đặc tả Use Case &amp; Database Design</t>
  </si>
  <si>
    <t>Documentation</t>
  </si>
  <si>
    <t>Tài liệu (database.md, usecase.md, spec manage-user, test case feat-auth) - không phải code màn hình</t>
  </si>
  <si>
    <t>Level 1</t>
  </si>
  <si>
    <t>Flashcard SRS (ôn tập ngắt quãng)</t>
  </si>
  <si>
    <t>Flashcard</t>
  </si>
  <si>
    <t>11/13 commit liên quan flashcard trong repo do MinhPham thực hiện</t>
  </si>
  <si>
    <t>Level 6</t>
  </si>
  <si>
    <t>Danh sách từ vựng (UC-09)</t>
  </si>
  <si>
    <t>Vocabulary</t>
  </si>
  <si>
    <t>GET /api/vocabulary danh sách từ vựng cho Student</t>
  </si>
  <si>
    <t>Ticket hỗ trợ &amp; Thông báo</t>
  </si>
  <si>
    <t>Support &amp; Notification</t>
  </si>
  <si>
    <t>Port + hoàn thiện luồng ticket/notification</t>
  </si>
  <si>
    <t>Level 4</t>
  </si>
  <si>
    <t>Dashboard &amp; Quản lý học viên (Staff)</t>
  </si>
  <si>
    <t>Staff Content</t>
  </si>
  <si>
    <t>Màn Dashboard + Quản lý học viên, backend + nối FE</t>
  </si>
  <si>
    <t>Assessment / Mock Test JLPT</t>
  </si>
  <si>
    <t>Assessment</t>
  </si>
  <si>
    <t>feat(assessment): implement assessment and mock test - test: MockExamServiceTest, AssessmentControllerIntegrationTest, MockExamControllerIntegrationTest</t>
  </si>
  <si>
    <t>Trang Ngữ pháp (Grammar)</t>
  </si>
  <si>
    <t>Grammar</t>
  </si>
  <si>
    <t>5/10 commit liên quan trang Grammar do Duyxh thực hiện</t>
  </si>
  <si>
    <t>Migrate kiến trúc backend sang feature-based</t>
  </si>
  <si>
    <t>Refactor hạ tầng</t>
  </si>
  <si>
    <t>Công việc cấu trúc/kiến trúc toàn hệ thống, không gắn với 1 màn hình cụ thể - rubric này dành cho screen/function nên áp mức thấp nhất</t>
  </si>
  <si>
    <t>Luyện nói &amp; Chấm điểm (UC-13, UC-31)</t>
  </si>
  <si>
    <t>Speaking</t>
  </si>
  <si>
    <t>Hoàn thiện ghi âm + chấm điểm, sau đó refactor bỏ AI tự chấm chỉ giữ giáo viên chấm</t>
  </si>
  <si>
    <t>Migrate database sang MySQL 8 + cloud-native</t>
  </si>
  <si>
    <t>Hạ tầng/Deploy</t>
  </si>
  <si>
    <t>ADR-009 - công việc hạ tầng, không phải 1 màn hình</t>
  </si>
  <si>
    <t>Fix lỗi Kanji (CDN 404, animation nét vẽ)</t>
  </si>
  <si>
    <t>Kanji Practice</t>
  </si>
  <si>
    <t>8 fix liên quan CDN/stroke animation trong tuần 13-19/07</t>
  </si>
  <si>
    <t>Quản lý nội dung đã xoá (ManagerDeletedContent)</t>
  </si>
  <si>
    <t>Content Review</t>
  </si>
  <si>
    <t>Soft-delete/restore chủ đề từ vựng (StaffManager, UC-33/34)</t>
  </si>
  <si>
    <t>Cập nhật luồng Luyện nói cho Staff/StaffManager</t>
  </si>
  <si>
    <t>Speaking (Staff)</t>
  </si>
  <si>
    <t>Update Speaking_Staff_StaffManager</t>
  </si>
  <si>
    <t>Validation input toàn hệ thống (G1-G7)</t>
  </si>
  <si>
    <t>Validation hardening</t>
  </si>
  <si>
    <t>feat(validation): siết validation L2+L3 cho staff/manager/admin, có catalog lỗi validation</t>
  </si>
  <si>
    <t>Item</t>
  </si>
  <si>
    <t>Failed</t>
  </si>
  <si>
    <t>Normal Cases</t>
  </si>
  <si>
    <t>Best Case</t>
  </si>
  <si>
    <t>No of screens/functions</t>
  </si>
  <si>
    <t>Tổng số screens/functions hoàn thiện đủ happy cases</t>
  </si>
  <si>
    <t xml:space="preserve">Maximum LOC (C) </t>
  </si>
  <si>
    <t>Số LOC quy đổi (L2-3-4 = 33%, 33%, 33%)</t>
  </si>
  <si>
    <t>Quality Level (Q)</t>
  </si>
  <si>
    <t>Chất lượng màn hình/chức năng**</t>
  </si>
  <si>
    <t>Evaluated LOC</t>
  </si>
  <si>
    <t>Số LOC đạt được (LOC = C*Q)</t>
  </si>
  <si>
    <t>LOC Grade (LG)</t>
  </si>
  <si>
    <t>Tỷ trọng điểm LOC</t>
  </si>
  <si>
    <t>Non-LOC Grade (Pkg)</t>
  </si>
  <si>
    <t>Tỷ trọng điểm quy trình, material liên quan..</t>
  </si>
  <si>
    <t>ĐIỂM ĐÁNH GIÁ (/10)</t>
  </si>
  <si>
    <t>Converted LOC (for each of the complexity levels)</t>
  </si>
  <si>
    <t>Complexity Level</t>
  </si>
  <si>
    <t>Level 7</t>
  </si>
  <si>
    <t>Level</t>
  </si>
  <si>
    <t>Fields</t>
  </si>
  <si>
    <t>Trans*</t>
  </si>
  <si>
    <t>Converted LOC</t>
  </si>
  <si>
    <t>3-5</t>
  </si>
  <si>
    <t>6-7</t>
  </si>
  <si>
    <t>Screen/Function Complexity Levels</t>
  </si>
  <si>
    <t>8-9</t>
  </si>
  <si>
    <t>Screen complexity can be defined based on the screen's fields OR screen/function's transactions</t>
  </si>
  <si>
    <t>10-11</t>
  </si>
  <si>
    <t>- Transactions can be counted as number of transactions to the database or external systems/subsystems</t>
  </si>
  <si>
    <t>12-13</t>
  </si>
  <si>
    <t>- Fields are screen's actionable components or database table fields; if there are some transactions those are</t>
  </si>
  <si>
    <t>14-15</t>
  </si>
  <si>
    <t xml:space="preserve">  not "related" to any fields, each of those transactions are counted as two fields and add those extra number </t>
  </si>
  <si>
    <t>&gt;15</t>
  </si>
  <si>
    <t>&gt;7</t>
  </si>
  <si>
    <t xml:space="preserve">  to the total number of fields to define the screen/function complexity</t>
  </si>
  <si>
    <t>*One trans (transactions) = Two fields (actionable screen components)</t>
  </si>
  <si>
    <t>No of transactions 
(to database, external,..)</t>
  </si>
  <si>
    <t>One transaction can be converted as two actionable fields</t>
  </si>
  <si>
    <t>OR: no of fields</t>
  </si>
  <si>
    <t>Screen/Function Quality Levels &amp; LOC Evaluation Rate</t>
  </si>
  <si>
    <t>Rate</t>
  </si>
  <si>
    <t>The screen/function is workable, all happy cases are included</t>
  </si>
  <si>
    <t>The screen/function is workable with both happy and unhappy cases included</t>
  </si>
  <si>
    <t>L3_Optimized</t>
  </si>
  <si>
    <t>All happy &amp; unhappy cases included + the function/screen is optimized in term of UX and
and business logics (suitability to real-world use cases)</t>
  </si>
  <si>
    <t>Some samples of screen complexity defining are as following</t>
  </si>
  <si>
    <t>Sample #1</t>
  </si>
  <si>
    <t>Sample #2</t>
  </si>
  <si>
    <t>Sample 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</si>
</sst>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.0_-;\-* #,##0.0_-;_-* &quot;-&quot;??_-;_-@_-"/>
    <numFmt numFmtId="178" formatCode="_-* #,##0.00_-;\-* #,##0.00_-;_-* &quot;-&quot;??_-;_-@_-"/>
    <numFmt numFmtId="179" formatCode="_(* #,##0.0_);_(* \(#,##0.0\);_(* &quot;-&quot;??_);_(@_)"/>
    <numFmt numFmtId="180" formatCode="0.0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i/>
      <sz val="10"/>
      <color rgb="FF000000"/>
      <name val="Calibri"/>
      <charset val="134"/>
      <scheme val="minor"/>
    </font>
    <font>
      <i/>
      <sz val="10"/>
      <color rgb="FF000000"/>
      <name val="Calibri"/>
      <charset val="134"/>
      <scheme val="minor"/>
    </font>
    <font>
      <b/>
      <i/>
      <sz val="11"/>
      <color rgb="FF0070C0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/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12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0" fillId="0" borderId="0"/>
    <xf numFmtId="0" fontId="0" fillId="0" borderId="0"/>
    <xf numFmtId="43" fontId="0" fillId="0" borderId="0"/>
  </cellStyleXfs>
  <cellXfs count="93">
    <xf numFmtId="0" fontId="0" fillId="0" borderId="0" xfId="0"/>
    <xf numFmtId="0" fontId="0" fillId="0" borderId="0" xfId="52"/>
    <xf numFmtId="0" fontId="1" fillId="2" borderId="1" xfId="52" applyFont="1" applyFill="1" applyBorder="1"/>
    <xf numFmtId="0" fontId="1" fillId="2" borderId="2" xfId="52" applyFont="1" applyFill="1" applyBorder="1"/>
    <xf numFmtId="0" fontId="1" fillId="2" borderId="2" xfId="52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2" borderId="2" xfId="52" applyFont="1" applyFill="1" applyBorder="1" applyAlignment="1">
      <alignment horizontal="left"/>
    </xf>
    <xf numFmtId="0" fontId="0" fillId="3" borderId="5" xfId="52" applyFill="1" applyBorder="1"/>
    <xf numFmtId="0" fontId="0" fillId="0" borderId="6" xfId="52" applyBorder="1"/>
    <xf numFmtId="0" fontId="0" fillId="0" borderId="6" xfId="52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3" borderId="6" xfId="52" applyFill="1" applyBorder="1"/>
    <xf numFmtId="9" fontId="0" fillId="0" borderId="6" xfId="52" applyNumberFormat="1" applyBorder="1"/>
    <xf numFmtId="177" fontId="0" fillId="3" borderId="6" xfId="53" applyNumberFormat="1" applyFont="1" applyFill="1" applyBorder="1"/>
    <xf numFmtId="9" fontId="0" fillId="0" borderId="6" xfId="52" applyNumberFormat="1" applyBorder="1" applyAlignment="1">
      <alignment horizontal="center"/>
    </xf>
    <xf numFmtId="177" fontId="0" fillId="0" borderId="6" xfId="53" applyNumberFormat="1" applyFont="1" applyBorder="1" applyAlignment="1">
      <alignment horizontal="left"/>
    </xf>
    <xf numFmtId="0" fontId="0" fillId="3" borderId="9" xfId="52" applyFill="1" applyBorder="1"/>
    <xf numFmtId="0" fontId="0" fillId="3" borderId="10" xfId="52" applyFill="1" applyBorder="1"/>
    <xf numFmtId="9" fontId="0" fillId="0" borderId="10" xfId="52" applyNumberFormat="1" applyBorder="1" applyAlignment="1">
      <alignment horizontal="center"/>
    </xf>
    <xf numFmtId="0" fontId="0" fillId="0" borderId="10" xfId="52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1" fillId="0" borderId="0" xfId="52" applyFont="1" applyAlignment="1">
      <alignment horizontal="right"/>
    </xf>
    <xf numFmtId="177" fontId="1" fillId="0" borderId="0" xfId="52" applyNumberFormat="1" applyFont="1"/>
    <xf numFmtId="0" fontId="1" fillId="0" borderId="0" xfId="52" applyFont="1"/>
    <xf numFmtId="178" fontId="0" fillId="0" borderId="0" xfId="52" applyNumberFormat="1"/>
    <xf numFmtId="0" fontId="2" fillId="0" borderId="0" xfId="52" applyFont="1" applyAlignment="1">
      <alignment horizontal="left"/>
    </xf>
    <xf numFmtId="0" fontId="3" fillId="2" borderId="6" xfId="52" applyFont="1" applyFill="1" applyBorder="1" applyAlignment="1">
      <alignment horizontal="right"/>
    </xf>
    <xf numFmtId="0" fontId="3" fillId="2" borderId="6" xfId="52" applyFont="1" applyFill="1" applyBorder="1"/>
    <xf numFmtId="0" fontId="3" fillId="2" borderId="6" xfId="52" applyFont="1" applyFill="1" applyBorder="1" applyAlignment="1">
      <alignment horizontal="center" vertical="center" wrapText="1"/>
    </xf>
    <xf numFmtId="0" fontId="3" fillId="2" borderId="6" xfId="52" applyFont="1" applyFill="1" applyBorder="1" applyAlignment="1">
      <alignment horizontal="left" vertical="center" wrapText="1"/>
    </xf>
    <xf numFmtId="0" fontId="3" fillId="2" borderId="6" xfId="52" applyFont="1" applyFill="1" applyBorder="1" applyAlignment="1">
      <alignment horizontal="left" vertical="top" wrapText="1"/>
    </xf>
    <xf numFmtId="0" fontId="0" fillId="3" borderId="6" xfId="52" applyFill="1" applyBorder="1" applyAlignment="1">
      <alignment horizontal="right"/>
    </xf>
    <xf numFmtId="0" fontId="0" fillId="3" borderId="6" xfId="52" applyFill="1" applyBorder="1" applyAlignment="1">
      <alignment horizontal="center"/>
    </xf>
    <xf numFmtId="0" fontId="0" fillId="4" borderId="6" xfId="52" applyFill="1" applyBorder="1" applyAlignment="1">
      <alignment horizontal="center"/>
    </xf>
    <xf numFmtId="0" fontId="0" fillId="0" borderId="6" xfId="52" applyBorder="1" applyAlignment="1">
      <alignment horizontal="center"/>
    </xf>
    <xf numFmtId="0" fontId="0" fillId="0" borderId="6" xfId="52" applyBorder="1" applyAlignment="1">
      <alignment vertical="top"/>
    </xf>
    <xf numFmtId="0" fontId="0" fillId="0" borderId="6" xfId="52" applyBorder="1" applyAlignment="1">
      <alignment horizontal="center" vertical="top"/>
    </xf>
    <xf numFmtId="0" fontId="0" fillId="0" borderId="6" xfId="52" applyBorder="1" applyAlignment="1">
      <alignment horizontal="left" vertical="top"/>
    </xf>
    <xf numFmtId="0" fontId="0" fillId="0" borderId="0" xfId="52" applyAlignment="1">
      <alignment horizontal="left"/>
    </xf>
    <xf numFmtId="0" fontId="1" fillId="2" borderId="6" xfId="52" applyFont="1" applyFill="1" applyBorder="1" applyAlignment="1">
      <alignment horizontal="right"/>
    </xf>
    <xf numFmtId="0" fontId="0" fillId="0" borderId="6" xfId="52" applyBorder="1" applyAlignment="1">
      <alignment horizontal="right" wrapText="1"/>
    </xf>
    <xf numFmtId="0" fontId="0" fillId="0" borderId="13" xfId="0" applyBorder="1"/>
    <xf numFmtId="0" fontId="4" fillId="0" borderId="6" xfId="52" applyFont="1" applyBorder="1" applyAlignment="1">
      <alignment horizontal="center"/>
    </xf>
    <xf numFmtId="0" fontId="0" fillId="0" borderId="6" xfId="52" applyBorder="1" applyAlignment="1">
      <alignment horizontal="right"/>
    </xf>
    <xf numFmtId="16" fontId="0" fillId="0" borderId="6" xfId="52" applyNumberFormat="1" applyBorder="1" applyAlignment="1">
      <alignment horizontal="center"/>
    </xf>
    <xf numFmtId="0" fontId="3" fillId="2" borderId="6" xfId="52" applyFont="1" applyFill="1" applyBorder="1" applyAlignment="1">
      <alignment horizontal="left"/>
    </xf>
    <xf numFmtId="0" fontId="0" fillId="3" borderId="6" xfId="52" applyFill="1" applyBorder="1" applyAlignment="1">
      <alignment horizontal="right" vertical="top"/>
    </xf>
    <xf numFmtId="9" fontId="0" fillId="0" borderId="6" xfId="52" applyNumberFormat="1" applyBorder="1" applyAlignment="1">
      <alignment vertical="top"/>
    </xf>
    <xf numFmtId="0" fontId="0" fillId="0" borderId="6" xfId="52" applyBorder="1" applyAlignment="1">
      <alignment horizontal="left" vertical="top" wrapText="1"/>
    </xf>
    <xf numFmtId="0" fontId="3" fillId="0" borderId="0" xfId="52" applyFont="1"/>
    <xf numFmtId="0" fontId="5" fillId="0" borderId="0" xfId="49" applyAlignment="1">
      <alignment horizontal="center" vertical="top"/>
    </xf>
    <xf numFmtId="0" fontId="5" fillId="0" borderId="0" xfId="49" applyAlignment="1">
      <alignment vertical="top"/>
    </xf>
    <xf numFmtId="0" fontId="6" fillId="2" borderId="6" xfId="49" applyFont="1" applyFill="1" applyBorder="1" applyAlignment="1">
      <alignment vertical="top"/>
    </xf>
    <xf numFmtId="0" fontId="7" fillId="5" borderId="6" xfId="49" applyFont="1" applyFill="1" applyBorder="1" applyAlignment="1">
      <alignment vertical="top"/>
    </xf>
    <xf numFmtId="0" fontId="8" fillId="0" borderId="6" xfId="49" applyFont="1" applyBorder="1" applyAlignment="1">
      <alignment horizontal="center" vertical="top"/>
    </xf>
    <xf numFmtId="0" fontId="8" fillId="0" borderId="6" xfId="49" applyFont="1" applyBorder="1" applyAlignment="1">
      <alignment vertical="top"/>
    </xf>
    <xf numFmtId="0" fontId="0" fillId="0" borderId="6" xfId="50" applyFont="1" applyBorder="1" applyAlignment="1">
      <alignment horizontal="left" vertical="top" wrapText="1"/>
    </xf>
    <xf numFmtId="0" fontId="9" fillId="3" borderId="6" xfId="49" applyFont="1" applyFill="1" applyBorder="1" applyAlignment="1">
      <alignment vertical="top"/>
    </xf>
    <xf numFmtId="0" fontId="9" fillId="0" borderId="6" xfId="49" applyFont="1" applyBorder="1" applyAlignment="1">
      <alignment vertical="top"/>
    </xf>
    <xf numFmtId="0" fontId="8" fillId="6" borderId="6" xfId="49" applyFont="1" applyFill="1" applyBorder="1" applyAlignment="1">
      <alignment vertical="top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vertical="top"/>
    </xf>
    <xf numFmtId="0" fontId="0" fillId="0" borderId="6" xfId="0" applyFont="1" applyBorder="1" applyAlignment="1">
      <alignment horizontal="left" vertical="top" wrapText="1"/>
    </xf>
    <xf numFmtId="0" fontId="9" fillId="3" borderId="6" xfId="0" applyFont="1" applyFill="1" applyBorder="1" applyAlignment="1">
      <alignment vertical="top"/>
    </xf>
    <xf numFmtId="0" fontId="9" fillId="0" borderId="6" xfId="0" applyFont="1" applyBorder="1" applyAlignment="1">
      <alignment vertical="top"/>
    </xf>
    <xf numFmtId="0" fontId="8" fillId="6" borderId="6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5" fillId="0" borderId="0" xfId="0" applyFont="1"/>
    <xf numFmtId="0" fontId="1" fillId="2" borderId="6" xfId="0" applyFont="1" applyFill="1" applyBorder="1" applyAlignment="1">
      <alignment horizontal="left" vertical="top"/>
    </xf>
    <xf numFmtId="0" fontId="6" fillId="5" borderId="6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vertical="top"/>
    </xf>
    <xf numFmtId="0" fontId="1" fillId="7" borderId="6" xfId="0" applyFont="1" applyFill="1" applyBorder="1" applyAlignment="1">
      <alignment horizontal="center" vertical="top"/>
    </xf>
    <xf numFmtId="0" fontId="1" fillId="8" borderId="6" xfId="0" applyFont="1" applyFill="1" applyBorder="1" applyAlignment="1">
      <alignment horizontal="center" vertical="top"/>
    </xf>
    <xf numFmtId="9" fontId="6" fillId="8" borderId="6" xfId="0" applyNumberFormat="1" applyFont="1" applyFill="1" applyBorder="1" applyAlignment="1">
      <alignment horizontal="center" vertical="top"/>
    </xf>
    <xf numFmtId="9" fontId="10" fillId="8" borderId="6" xfId="0" applyNumberFormat="1" applyFont="1" applyFill="1" applyBorder="1" applyAlignment="1">
      <alignment vertical="top"/>
    </xf>
    <xf numFmtId="9" fontId="11" fillId="8" borderId="6" xfId="0" applyNumberFormat="1" applyFont="1" applyFill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6" xfId="0" applyFont="1" applyBorder="1"/>
    <xf numFmtId="179" fontId="12" fillId="8" borderId="6" xfId="0" applyNumberFormat="1" applyFont="1" applyFill="1" applyBorder="1" applyAlignment="1">
      <alignment horizontal="center" vertical="top"/>
    </xf>
    <xf numFmtId="180" fontId="10" fillId="8" borderId="6" xfId="0" applyNumberFormat="1" applyFont="1" applyFill="1" applyBorder="1" applyAlignment="1">
      <alignment horizontal="center" vertical="top"/>
    </xf>
    <xf numFmtId="0" fontId="13" fillId="4" borderId="6" xfId="0" applyFont="1" applyFill="1" applyBorder="1" applyAlignment="1">
      <alignment vertical="top"/>
    </xf>
    <xf numFmtId="180" fontId="13" fillId="0" borderId="6" xfId="0" applyNumberFormat="1" applyFont="1" applyBorder="1" applyAlignment="1">
      <alignment horizontal="right" vertical="top" wrapText="1"/>
    </xf>
    <xf numFmtId="0" fontId="13" fillId="0" borderId="6" xfId="0" applyFont="1" applyBorder="1" applyAlignment="1">
      <alignment horizontal="left" vertical="top" wrapText="1"/>
    </xf>
    <xf numFmtId="180" fontId="13" fillId="8" borderId="6" xfId="4" applyNumberFormat="1" applyFont="1" applyFill="1" applyBorder="1" applyAlignment="1">
      <alignment vertical="top"/>
    </xf>
    <xf numFmtId="180" fontId="13" fillId="4" borderId="6" xfId="0" applyNumberFormat="1" applyFont="1" applyFill="1" applyBorder="1" applyAlignment="1">
      <alignment horizontal="right" vertical="top" wrapText="1"/>
    </xf>
    <xf numFmtId="0" fontId="13" fillId="4" borderId="6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6" xfId="52" applyBorder="1" applyAlignment="1" quotePrefix="1">
      <alignment horizontal="center" vertical="top"/>
    </xf>
    <xf numFmtId="0" fontId="0" fillId="0" borderId="0" xfId="52" applyAlignment="1" quotePrefix="1">
      <alignment horizontal="left"/>
    </xf>
    <xf numFmtId="0" fontId="0" fillId="0" borderId="6" xfId="52" applyBorder="1" applyAlignment="1" quotePrefix="1">
      <alignment horizontal="center"/>
    </xf>
    <xf numFmtId="16" fontId="0" fillId="0" borderId="6" xfId="52" applyNumberFormat="1" applyBorder="1" applyAlignment="1" quotePrefix="1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Comma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305517</xdr:colOff>
      <xdr:row>32</xdr:row>
      <xdr:rowOff>57151</xdr:rowOff>
    </xdr:from>
    <xdr:to>
      <xdr:col>8</xdr:col>
      <xdr:colOff>526255</xdr:colOff>
      <xdr:row>43</xdr:row>
      <xdr:rowOff>129200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695" y="6269355"/>
          <a:ext cx="5904865" cy="20834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34464</xdr:colOff>
      <xdr:row>32</xdr:row>
      <xdr:rowOff>9525</xdr:rowOff>
    </xdr:from>
    <xdr:to>
      <xdr:col>15</xdr:col>
      <xdr:colOff>862794</xdr:colOff>
      <xdr:row>50</xdr:row>
      <xdr:rowOff>15220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84670" y="6221730"/>
          <a:ext cx="3607435" cy="32969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24835</xdr:colOff>
      <xdr:row>45</xdr:row>
      <xdr:rowOff>9524</xdr:rowOff>
    </xdr:from>
    <xdr:to>
      <xdr:col>8</xdr:col>
      <xdr:colOff>333376</xdr:colOff>
      <xdr:row>70</xdr:row>
      <xdr:rowOff>151171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1460" y="8598535"/>
          <a:ext cx="5687695" cy="47142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8"/>
  <sheetViews>
    <sheetView tabSelected="1" zoomScale="85" zoomScaleNormal="85" workbookViewId="0">
      <pane ySplit="1" topLeftCell="A2" activePane="bottomLeft" state="frozen"/>
      <selection/>
      <selection pane="bottomLeft" activeCell="W4" sqref="I9 W4"/>
    </sheetView>
  </sheetViews>
  <sheetFormatPr defaultColWidth="8.76851851851852" defaultRowHeight="14.4" outlineLevelRow="7"/>
  <cols>
    <col min="1" max="1" width="16.1481481481481" customWidth="1" collapsed="1"/>
    <col min="2" max="2" width="13.537037037037" hidden="1" customWidth="1" outlineLevel="1"/>
    <col min="3" max="3" width="13.2314814814815" hidden="1" customWidth="1" outlineLevel="1"/>
    <col min="4" max="4" width="8.49074074074074" customWidth="1" collapsed="1"/>
    <col min="5" max="5" width="5.69444444444444" hidden="1" customWidth="1" outlineLevel="1"/>
    <col min="6" max="6" width="55.9259259259259" hidden="1" customWidth="1" outlineLevel="1"/>
    <col min="7" max="7" width="5.69444444444444" style="69" customWidth="1"/>
    <col min="8" max="8" width="4.76851851851852" style="70" customWidth="1"/>
    <col min="9" max="9" width="5.37962962962963" customWidth="1" outlineLevel="1" collapsed="1"/>
    <col min="10" max="10" width="33.0740740740741" hidden="1" customWidth="1" outlineLevel="2"/>
    <col min="11" max="11" width="7.84259259259259" customWidth="1" outlineLevel="1" collapsed="1"/>
    <col min="12" max="12" width="30.6944444444444" hidden="1" customWidth="1" outlineLevel="2"/>
    <col min="13" max="13" width="8.23148148148148" customWidth="1" outlineLevel="1" collapsed="1"/>
    <col min="14" max="14" width="23.7685185185185" hidden="1" customWidth="1" outlineLevel="2"/>
    <col min="15" max="15" width="4.76851851851852" style="70" customWidth="1" collapsed="1"/>
    <col min="16" max="16" width="5" hidden="1" customWidth="1" outlineLevel="1" collapsed="1"/>
    <col min="17" max="17" width="36.0740740740741" hidden="1" customWidth="1" outlineLevel="2"/>
    <col min="18" max="18" width="8.30555555555556" hidden="1" customWidth="1" outlineLevel="1" collapsed="1"/>
    <col min="19" max="19" width="30.6944444444444" hidden="1" customWidth="1" outlineLevel="2"/>
    <col min="20" max="20" width="5.53703703703704" hidden="1" customWidth="1" outlineLevel="1"/>
    <col min="21" max="21" width="6.46296296296296" hidden="1" customWidth="1" outlineLevel="2"/>
    <col min="22" max="22" width="4.76851851851852" style="70" customWidth="1"/>
    <col min="23" max="23" width="5" customWidth="1" outlineLevel="1"/>
    <col min="24" max="24" width="36.0740740740741" customWidth="1" outlineLevel="2"/>
    <col min="25" max="25" width="8.30555555555556" customWidth="1" outlineLevel="1"/>
    <col min="26" max="26" width="30.6944444444444" customWidth="1" outlineLevel="2"/>
    <col min="27" max="27" width="8.30555555555556" customWidth="1" outlineLevel="1"/>
    <col min="28" max="28" width="30.6944444444444" customWidth="1" outlineLevel="2"/>
    <col min="29" max="29" width="5.53703703703704" customWidth="1" outlineLevel="1"/>
    <col min="30" max="30" width="6.46296296296296" customWidth="1" outlineLevel="2"/>
  </cols>
  <sheetData>
    <row r="1" spans="1:30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2" t="s">
        <v>6</v>
      </c>
      <c r="H1" s="73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3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5" t="s">
        <v>21</v>
      </c>
      <c r="W1" s="74" t="s">
        <v>15</v>
      </c>
      <c r="X1" s="74" t="s">
        <v>16</v>
      </c>
      <c r="Y1" s="74" t="s">
        <v>22</v>
      </c>
      <c r="Z1" s="74" t="s">
        <v>23</v>
      </c>
      <c r="AA1" s="74" t="s">
        <v>24</v>
      </c>
      <c r="AB1" s="74" t="s">
        <v>25</v>
      </c>
      <c r="AC1" s="74" t="s">
        <v>19</v>
      </c>
      <c r="AD1" s="74" t="s">
        <v>20</v>
      </c>
    </row>
    <row r="2" spans="1:30">
      <c r="A2" s="76"/>
      <c r="B2" s="76"/>
      <c r="C2" s="76"/>
      <c r="D2" s="76"/>
      <c r="E2" s="76"/>
      <c r="F2" s="76"/>
      <c r="G2" s="77">
        <f>H2+O2+V2</f>
        <v>0.6</v>
      </c>
      <c r="H2" s="78">
        <v>0.15</v>
      </c>
      <c r="I2" s="79">
        <v>0.5</v>
      </c>
      <c r="J2" s="79"/>
      <c r="K2" s="79">
        <v>0.3</v>
      </c>
      <c r="L2" s="79"/>
      <c r="M2" s="79">
        <v>0.2</v>
      </c>
      <c r="N2" s="79"/>
      <c r="O2" s="78">
        <v>0.2</v>
      </c>
      <c r="P2" s="79">
        <v>0.3</v>
      </c>
      <c r="Q2" s="79"/>
      <c r="R2" s="79">
        <v>0.2</v>
      </c>
      <c r="S2" s="79"/>
      <c r="T2" s="79">
        <v>0.5</v>
      </c>
      <c r="U2" s="79"/>
      <c r="V2" s="78">
        <v>0.25</v>
      </c>
      <c r="W2" s="79">
        <v>0.1</v>
      </c>
      <c r="X2" s="79"/>
      <c r="Y2" s="79">
        <v>0.3</v>
      </c>
      <c r="Z2" s="79"/>
      <c r="AA2" s="79">
        <v>0.1</v>
      </c>
      <c r="AB2" s="79"/>
      <c r="AC2" s="79">
        <v>0.5</v>
      </c>
      <c r="AD2" s="79"/>
    </row>
    <row r="3" ht="30" customHeight="1" spans="1:30">
      <c r="A3" s="80" t="s">
        <v>26</v>
      </c>
      <c r="B3" s="80" t="s">
        <v>27</v>
      </c>
      <c r="C3" s="81" t="s">
        <v>26</v>
      </c>
      <c r="D3" s="80" t="s">
        <v>28</v>
      </c>
      <c r="E3" s="80"/>
      <c r="F3" s="80" t="s">
        <v>29</v>
      </c>
      <c r="G3" s="82"/>
      <c r="H3" s="83"/>
      <c r="I3" s="84"/>
      <c r="J3" s="84"/>
      <c r="K3" s="85"/>
      <c r="L3" s="86"/>
      <c r="M3" s="87"/>
      <c r="N3" s="84"/>
      <c r="O3" s="83"/>
      <c r="P3" s="84"/>
      <c r="Q3" s="84"/>
      <c r="R3" s="88"/>
      <c r="S3" s="89"/>
      <c r="T3" s="87"/>
      <c r="U3" s="84"/>
      <c r="V3" s="83"/>
      <c r="W3" s="84"/>
      <c r="X3" s="84"/>
      <c r="Y3" s="88"/>
      <c r="Z3" s="89"/>
      <c r="AA3" s="88"/>
      <c r="AB3" s="89"/>
      <c r="AC3" s="87"/>
      <c r="AD3" s="84"/>
    </row>
    <row r="4" ht="30" customHeight="1" spans="1:30">
      <c r="A4" s="80" t="s">
        <v>30</v>
      </c>
      <c r="B4" s="80" t="s">
        <v>27</v>
      </c>
      <c r="C4" s="81" t="s">
        <v>30</v>
      </c>
      <c r="D4" s="80" t="s">
        <v>28</v>
      </c>
      <c r="E4" s="80"/>
      <c r="F4" s="80" t="s">
        <v>29</v>
      </c>
      <c r="G4" s="82"/>
      <c r="H4" s="83"/>
      <c r="I4" s="84"/>
      <c r="J4" s="84"/>
      <c r="K4" s="85"/>
      <c r="L4" s="86"/>
      <c r="M4" s="87"/>
      <c r="N4" s="84"/>
      <c r="O4" s="83"/>
      <c r="P4" s="84"/>
      <c r="Q4" s="84"/>
      <c r="R4" s="88"/>
      <c r="S4" s="89"/>
      <c r="T4" s="87"/>
      <c r="U4" s="84"/>
      <c r="V4" s="83"/>
      <c r="W4" s="84"/>
      <c r="X4" s="84"/>
      <c r="Y4" s="88"/>
      <c r="Z4" s="89"/>
      <c r="AA4" s="88"/>
      <c r="AB4" s="89"/>
      <c r="AC4" s="87"/>
      <c r="AD4" s="84"/>
    </row>
    <row r="5" ht="30" customHeight="1" spans="1:30">
      <c r="A5" s="80" t="s">
        <v>31</v>
      </c>
      <c r="B5" s="80" t="s">
        <v>27</v>
      </c>
      <c r="C5" s="81" t="s">
        <v>31</v>
      </c>
      <c r="D5" s="80" t="s">
        <v>28</v>
      </c>
      <c r="E5" s="80"/>
      <c r="F5" s="80" t="s">
        <v>29</v>
      </c>
      <c r="G5" s="82"/>
      <c r="H5" s="83"/>
      <c r="I5" s="84"/>
      <c r="J5" s="84"/>
      <c r="K5" s="85"/>
      <c r="L5" s="86"/>
      <c r="M5" s="87"/>
      <c r="N5" s="84"/>
      <c r="O5" s="83"/>
      <c r="P5" s="84"/>
      <c r="Q5" s="84"/>
      <c r="R5" s="88"/>
      <c r="S5" s="89"/>
      <c r="T5" s="87"/>
      <c r="U5" s="84"/>
      <c r="V5" s="83"/>
      <c r="W5" s="84"/>
      <c r="X5" s="84"/>
      <c r="Y5" s="88"/>
      <c r="Z5" s="89"/>
      <c r="AA5" s="88"/>
      <c r="AB5" s="89"/>
      <c r="AC5" s="87"/>
      <c r="AD5" s="84"/>
    </row>
    <row r="6" ht="30" customHeight="1" spans="1:30">
      <c r="A6" s="80" t="s">
        <v>32</v>
      </c>
      <c r="B6" s="80" t="s">
        <v>27</v>
      </c>
      <c r="C6" s="81" t="s">
        <v>32</v>
      </c>
      <c r="D6" s="80" t="s">
        <v>28</v>
      </c>
      <c r="E6" s="80"/>
      <c r="F6" s="80" t="s">
        <v>29</v>
      </c>
      <c r="G6" s="82"/>
      <c r="H6" s="83"/>
      <c r="I6" s="84"/>
      <c r="J6" s="84"/>
      <c r="K6" s="85"/>
      <c r="L6" s="86"/>
      <c r="M6" s="87"/>
      <c r="N6" s="84"/>
      <c r="O6" s="83"/>
      <c r="P6" s="84"/>
      <c r="Q6" s="84"/>
      <c r="R6" s="88"/>
      <c r="S6" s="89"/>
      <c r="T6" s="87"/>
      <c r="U6" s="84"/>
      <c r="V6" s="83"/>
      <c r="W6" s="84"/>
      <c r="X6" s="84"/>
      <c r="Y6" s="88"/>
      <c r="Z6" s="89"/>
      <c r="AA6" s="88"/>
      <c r="AB6" s="89"/>
      <c r="AC6" s="87"/>
      <c r="AD6" s="84"/>
    </row>
    <row r="7" ht="30" customHeight="1" spans="1:30">
      <c r="A7" s="80" t="s">
        <v>33</v>
      </c>
      <c r="B7" s="80" t="s">
        <v>27</v>
      </c>
      <c r="C7" s="81" t="s">
        <v>33</v>
      </c>
      <c r="D7" s="80" t="s">
        <v>28</v>
      </c>
      <c r="E7" s="80"/>
      <c r="F7" s="80" t="s">
        <v>29</v>
      </c>
      <c r="G7" s="82"/>
      <c r="H7" s="83"/>
      <c r="I7" s="84"/>
      <c r="J7" s="84"/>
      <c r="K7" s="85"/>
      <c r="L7" s="86"/>
      <c r="M7" s="87"/>
      <c r="N7" s="84"/>
      <c r="O7" s="83"/>
      <c r="P7" s="84"/>
      <c r="Q7" s="84"/>
      <c r="R7" s="88"/>
      <c r="S7" s="89"/>
      <c r="T7" s="87"/>
      <c r="U7" s="84"/>
      <c r="V7" s="83"/>
      <c r="W7" s="84"/>
      <c r="X7" s="84"/>
      <c r="Y7" s="88"/>
      <c r="Z7" s="89"/>
      <c r="AA7" s="88"/>
      <c r="AB7" s="89"/>
      <c r="AC7" s="87"/>
      <c r="AD7" s="84"/>
    </row>
    <row r="8" spans="1:30">
      <c r="A8" s="90"/>
      <c r="B8" s="90"/>
      <c r="C8" s="90"/>
      <c r="D8" s="90"/>
      <c r="E8" s="90"/>
      <c r="F8" s="90"/>
      <c r="G8" s="91"/>
      <c r="H8" s="92"/>
      <c r="O8" s="92"/>
      <c r="V8" s="92"/>
    </row>
  </sheetData>
  <autoFilter xmlns:etc="http://www.wps.cn/officeDocument/2017/etCustomData" ref="A1:E15" etc:filterBottomFollowUsedRange="0">
    <extLst/>
  </autoFilter>
  <conditionalFormatting sqref="G3:G15">
    <cfRule type="cellIs" dxfId="0" priority="26" operator="lessThan">
      <formula>5</formula>
    </cfRule>
  </conditionalFormatting>
  <conditionalFormatting sqref="H3:H15">
    <cfRule type="cellIs" dxfId="0" priority="19" operator="lessThan">
      <formula>5</formula>
    </cfRule>
    <cfRule type="cellIs" dxfId="0" priority="20" operator="lessThan">
      <formula>5</formula>
    </cfRule>
    <cfRule type="cellIs" dxfId="0" priority="21" operator="lessThan">
      <formula>5</formula>
    </cfRule>
  </conditionalFormatting>
  <conditionalFormatting sqref="O3:O15">
    <cfRule type="cellIs" dxfId="0" priority="16" operator="lessThan">
      <formula>5</formula>
    </cfRule>
    <cfRule type="cellIs" dxfId="0" priority="17" operator="lessThan">
      <formula>5</formula>
    </cfRule>
    <cfRule type="cellIs" dxfId="0" priority="18" operator="lessThan">
      <formula>5</formula>
    </cfRule>
  </conditionalFormatting>
  <conditionalFormatting sqref="V3:V15">
    <cfRule type="cellIs" dxfId="0" priority="1" operator="lessThan">
      <formula>5</formula>
    </cfRule>
    <cfRule type="cellIs" dxfId="0" priority="2" operator="lessThan">
      <formula>5</formula>
    </cfRule>
    <cfRule type="cellIs" dxfId="0" priority="3" operator="lessThan">
      <formula>5</formula>
    </cfRule>
  </conditionalFormatting>
  <dataValidations count="1">
    <dataValidation type="decimal" operator="between" allowBlank="1" showInputMessage="1" showErrorMessage="1" sqref="P3:P15 W3:W15 I3:J15">
      <formula1>-1</formula1>
      <formula2>1</formula2>
    </dataValidation>
  </dataValidations>
  <pageMargins left="0.699305555555556" right="0.699305555555556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8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6" sqref="A6"/>
    </sheetView>
  </sheetViews>
  <sheetFormatPr defaultColWidth="10.7685185185185" defaultRowHeight="13.2"/>
  <cols>
    <col min="1" max="1" width="7.07407407407407" style="53" customWidth="1"/>
    <col min="2" max="2" width="24.3796296296296" style="54" customWidth="1"/>
    <col min="3" max="3" width="14.6111111111111" style="54" customWidth="1"/>
    <col min="4" max="4" width="9.07407407407407" style="54" customWidth="1"/>
    <col min="5" max="5" width="10.2314814814815" style="54" customWidth="1"/>
    <col min="6" max="6" width="4.69444444444444" style="54" customWidth="1"/>
    <col min="7" max="7" width="36.6944444444444" style="54" customWidth="1" outlineLevel="1"/>
    <col min="8" max="8" width="14.462962962963" style="54" customWidth="1" outlineLevel="1"/>
    <col min="9" max="9" width="10.7685185185185" style="54" customWidth="1" outlineLevel="1"/>
    <col min="10" max="10" width="18.1481481481481" style="54" customWidth="1" outlineLevel="2"/>
    <col min="11" max="16384" width="10.7685185185185" style="54" customWidth="1"/>
  </cols>
  <sheetData>
    <row r="1" ht="14.6" customHeight="1" spans="1:10">
      <c r="A1" s="55" t="s">
        <v>34</v>
      </c>
      <c r="B1" s="55" t="s">
        <v>35</v>
      </c>
      <c r="C1" s="55" t="s">
        <v>36</v>
      </c>
      <c r="D1" s="55" t="s">
        <v>37</v>
      </c>
      <c r="E1" s="55" t="s">
        <v>38</v>
      </c>
      <c r="F1" s="56" t="s">
        <v>39</v>
      </c>
      <c r="G1" s="56" t="s">
        <v>40</v>
      </c>
      <c r="H1" s="56" t="s">
        <v>41</v>
      </c>
      <c r="I1" s="56" t="s">
        <v>42</v>
      </c>
      <c r="J1" s="56" t="s">
        <v>43</v>
      </c>
    </row>
    <row r="2" ht="45" customHeight="1" spans="1:10">
      <c r="A2" s="57" t="s">
        <v>7</v>
      </c>
      <c r="B2" s="58" t="s">
        <v>44</v>
      </c>
      <c r="C2" s="58" t="s">
        <v>45</v>
      </c>
      <c r="D2" s="59" t="s">
        <v>26</v>
      </c>
      <c r="E2" s="59" t="s">
        <v>46</v>
      </c>
      <c r="F2" s="60">
        <f>IF(E2="Done",VLOOKUP(H2,Params!$B$27:$C$29,2,FALSE)*VLOOKUP(I2,Params!$K$12:$N$18,4,FALSE),0)</f>
        <v>135</v>
      </c>
      <c r="G2" s="61" t="s">
        <v>47</v>
      </c>
      <c r="H2" s="61" t="s">
        <v>48</v>
      </c>
      <c r="I2" s="61" t="s">
        <v>49</v>
      </c>
      <c r="J2" s="62" t="str">
        <f>VLOOKUP(I2,Params!$K$12:$O$18,5,FALSE)</f>
        <v>12-13 fields OR 6 trans</v>
      </c>
    </row>
    <row r="3" ht="45" customHeight="1" spans="1:10">
      <c r="A3" s="57" t="s">
        <v>7</v>
      </c>
      <c r="B3" s="58" t="s">
        <v>50</v>
      </c>
      <c r="C3" s="58" t="s">
        <v>51</v>
      </c>
      <c r="D3" s="59" t="s">
        <v>31</v>
      </c>
      <c r="E3" s="59" t="s">
        <v>46</v>
      </c>
      <c r="F3" s="60">
        <f>IF(E3="Done",VLOOKUP(H3,Params!$B$27:$C$29,2,FALSE)*VLOOKUP(I3,Params!$K$12:$N$18,4,FALSE),0)</f>
        <v>60</v>
      </c>
      <c r="G3" s="61" t="s">
        <v>52</v>
      </c>
      <c r="H3" s="61" t="s">
        <v>53</v>
      </c>
      <c r="I3" s="61" t="s">
        <v>54</v>
      </c>
      <c r="J3" s="62" t="str">
        <f>VLOOKUP(I3,Params!$K$12:$O$18,5,FALSE)</f>
        <v>8-9 fields OR 4 trans</v>
      </c>
    </row>
    <row r="4" ht="45" customHeight="1" spans="1:10">
      <c r="A4" s="57" t="s">
        <v>7</v>
      </c>
      <c r="B4" s="58" t="s">
        <v>55</v>
      </c>
      <c r="C4" s="58" t="s">
        <v>56</v>
      </c>
      <c r="D4" s="59" t="s">
        <v>30</v>
      </c>
      <c r="E4" s="59" t="s">
        <v>46</v>
      </c>
      <c r="F4" s="60">
        <f>IF(E4="Done",VLOOKUP(H4,Params!$B$27:$C$29,2,FALSE)*VLOOKUP(I4,Params!$K$12:$N$18,4,FALSE),0)</f>
        <v>45</v>
      </c>
      <c r="G4" s="61" t="s">
        <v>57</v>
      </c>
      <c r="H4" s="61" t="s">
        <v>53</v>
      </c>
      <c r="I4" s="61" t="s">
        <v>58</v>
      </c>
      <c r="J4" s="62" t="str">
        <f>VLOOKUP(I4,Params!$K$12:$O$18,5,FALSE)</f>
        <v>6-7 fields OR 3 trans</v>
      </c>
    </row>
    <row r="5" ht="45" customHeight="1" spans="1:10">
      <c r="A5" s="57" t="s">
        <v>7</v>
      </c>
      <c r="B5" s="58" t="s">
        <v>59</v>
      </c>
      <c r="C5" s="58" t="s">
        <v>60</v>
      </c>
      <c r="D5" s="59" t="s">
        <v>32</v>
      </c>
      <c r="E5" s="59" t="s">
        <v>46</v>
      </c>
      <c r="F5" s="60">
        <f>IF(E5="Done",VLOOKUP(H5,Params!$B$27:$C$29,2,FALSE)*VLOOKUP(I5,Params!$K$12:$N$18,4,FALSE),0)</f>
        <v>30</v>
      </c>
      <c r="G5" s="61" t="s">
        <v>61</v>
      </c>
      <c r="H5" s="61" t="s">
        <v>53</v>
      </c>
      <c r="I5" s="61" t="s">
        <v>62</v>
      </c>
      <c r="J5" s="62" t="str">
        <f>VLOOKUP(I5,Params!$K$12:$O$18,5,FALSE)</f>
        <v>3-5 fields OR 2 trans</v>
      </c>
    </row>
    <row r="6" ht="45" customHeight="1" spans="1:10">
      <c r="A6" s="63" t="s">
        <v>14</v>
      </c>
      <c r="B6" s="64" t="s">
        <v>63</v>
      </c>
      <c r="C6" s="64" t="s">
        <v>64</v>
      </c>
      <c r="D6" s="65" t="s">
        <v>30</v>
      </c>
      <c r="E6" s="65" t="s">
        <v>46</v>
      </c>
      <c r="F6" s="66">
        <f>IF(E6="Done",VLOOKUP(H6,Params!$B$27:$C$29,2,FALSE)*VLOOKUP(I6,Params!$K$12:$N$18,4,FALSE),0)</f>
        <v>105</v>
      </c>
      <c r="G6" s="67" t="s">
        <v>65</v>
      </c>
      <c r="H6" s="67" t="s">
        <v>53</v>
      </c>
      <c r="I6" s="67" t="s">
        <v>66</v>
      </c>
      <c r="J6" s="68" t="str">
        <f>VLOOKUP(I6,Params!$K$12:$O$18,5,FALSE)</f>
        <v>14-15 fields OR 7 trans</v>
      </c>
    </row>
    <row r="7" ht="45" customHeight="1" spans="1:10">
      <c r="A7" s="63" t="s">
        <v>14</v>
      </c>
      <c r="B7" s="64" t="s">
        <v>67</v>
      </c>
      <c r="C7" s="64" t="s">
        <v>68</v>
      </c>
      <c r="D7" s="65" t="s">
        <v>30</v>
      </c>
      <c r="E7" s="65" t="s">
        <v>46</v>
      </c>
      <c r="F7" s="66">
        <f>IF(E7="Done",VLOOKUP(H7,Params!$B$27:$C$29,2,FALSE)*VLOOKUP(I7,Params!$K$12:$N$18,4,FALSE),0)</f>
        <v>60</v>
      </c>
      <c r="G7" s="67" t="s">
        <v>69</v>
      </c>
      <c r="H7" s="67" t="s">
        <v>53</v>
      </c>
      <c r="I7" s="67" t="s">
        <v>54</v>
      </c>
      <c r="J7" s="68" t="str">
        <f>VLOOKUP(I7,Params!$K$12:$O$18,5,FALSE)</f>
        <v>8-9 fields OR 4 trans</v>
      </c>
    </row>
    <row r="8" ht="45" customHeight="1" spans="1:10">
      <c r="A8" s="63" t="s">
        <v>14</v>
      </c>
      <c r="B8" s="64" t="s">
        <v>70</v>
      </c>
      <c r="C8" s="64" t="s">
        <v>71</v>
      </c>
      <c r="D8" s="65" t="s">
        <v>30</v>
      </c>
      <c r="E8" s="65" t="s">
        <v>46</v>
      </c>
      <c r="F8" s="66">
        <f>IF(E8="Done",VLOOKUP(H8,Params!$B$27:$C$29,2,FALSE)*VLOOKUP(I8,Params!$K$12:$N$18,4,FALSE),0)</f>
        <v>75</v>
      </c>
      <c r="G8" s="67" t="s">
        <v>72</v>
      </c>
      <c r="H8" s="67" t="s">
        <v>53</v>
      </c>
      <c r="I8" s="67" t="s">
        <v>73</v>
      </c>
      <c r="J8" s="68" t="str">
        <f>VLOOKUP(I8,Params!$K$12:$O$18,5,FALSE)</f>
        <v>10-11 fields OR 5 trans</v>
      </c>
    </row>
    <row r="9" ht="45" customHeight="1" spans="1:10">
      <c r="A9" s="63" t="s">
        <v>14</v>
      </c>
      <c r="B9" s="64" t="s">
        <v>74</v>
      </c>
      <c r="C9" s="64" t="s">
        <v>75</v>
      </c>
      <c r="D9" s="65" t="s">
        <v>31</v>
      </c>
      <c r="E9" s="65" t="s">
        <v>46</v>
      </c>
      <c r="F9" s="66">
        <f>IF(E9="Done",VLOOKUP(H9,Params!$B$27:$C$29,2,FALSE)*VLOOKUP(I9,Params!$K$12:$N$18,4,FALSE),0)</f>
        <v>90</v>
      </c>
      <c r="G9" s="67" t="s">
        <v>76</v>
      </c>
      <c r="H9" s="67" t="s">
        <v>53</v>
      </c>
      <c r="I9" s="67" t="s">
        <v>49</v>
      </c>
      <c r="J9" s="68" t="str">
        <f>VLOOKUP(I9,Params!$K$12:$O$18,5,FALSE)</f>
        <v>12-13 fields OR 6 trans</v>
      </c>
    </row>
    <row r="10" ht="45" customHeight="1" spans="1:10">
      <c r="A10" s="63" t="s">
        <v>14</v>
      </c>
      <c r="B10" s="64" t="s">
        <v>77</v>
      </c>
      <c r="C10" s="64" t="s">
        <v>78</v>
      </c>
      <c r="D10" s="65" t="s">
        <v>26</v>
      </c>
      <c r="E10" s="65" t="s">
        <v>46</v>
      </c>
      <c r="F10" s="66">
        <f>IF(E10="Done",VLOOKUP(H10,Params!$B$27:$C$29,2,FALSE)*VLOOKUP(I10,Params!$K$12:$N$18,4,FALSE),0)</f>
        <v>157.5</v>
      </c>
      <c r="G10" s="67" t="s">
        <v>79</v>
      </c>
      <c r="H10" s="67" t="s">
        <v>48</v>
      </c>
      <c r="I10" s="67" t="s">
        <v>66</v>
      </c>
      <c r="J10" s="68" t="str">
        <f>VLOOKUP(I10,Params!$K$12:$O$18,5,FALSE)</f>
        <v>14-15 fields OR 7 trans</v>
      </c>
    </row>
    <row r="11" ht="45" customHeight="1" spans="1:10">
      <c r="A11" s="63" t="s">
        <v>14</v>
      </c>
      <c r="B11" s="64" t="s">
        <v>80</v>
      </c>
      <c r="C11" s="64" t="s">
        <v>81</v>
      </c>
      <c r="D11" s="65" t="s">
        <v>32</v>
      </c>
      <c r="E11" s="65" t="s">
        <v>46</v>
      </c>
      <c r="F11" s="66">
        <f>IF(E11="Done",VLOOKUP(H11,Params!$B$27:$C$29,2,FALSE)*VLOOKUP(I11,Params!$K$12:$N$18,4,FALSE),0)</f>
        <v>60</v>
      </c>
      <c r="G11" s="67" t="s">
        <v>82</v>
      </c>
      <c r="H11" s="67" t="s">
        <v>53</v>
      </c>
      <c r="I11" s="67" t="s">
        <v>54</v>
      </c>
      <c r="J11" s="68" t="str">
        <f>VLOOKUP(I11,Params!$K$12:$O$18,5,FALSE)</f>
        <v>8-9 fields OR 4 trans</v>
      </c>
    </row>
    <row r="12" ht="45" customHeight="1" spans="1:10">
      <c r="A12" s="63" t="s">
        <v>14</v>
      </c>
      <c r="B12" s="64" t="s">
        <v>83</v>
      </c>
      <c r="C12" s="64" t="s">
        <v>84</v>
      </c>
      <c r="D12" s="65" t="s">
        <v>33</v>
      </c>
      <c r="E12" s="65" t="s">
        <v>46</v>
      </c>
      <c r="F12" s="66">
        <f>IF(E12="Done",VLOOKUP(H12,Params!$B$27:$C$29,2,FALSE)*VLOOKUP(I12,Params!$K$12:$N$18,4,FALSE),0)</f>
        <v>30</v>
      </c>
      <c r="G12" s="67" t="s">
        <v>85</v>
      </c>
      <c r="H12" s="67" t="s">
        <v>53</v>
      </c>
      <c r="I12" s="67" t="s">
        <v>62</v>
      </c>
      <c r="J12" s="68" t="str">
        <f>VLOOKUP(I12,Params!$K$12:$O$18,5,FALSE)</f>
        <v>3-5 fields OR 2 trans</v>
      </c>
    </row>
    <row r="13" ht="45" customHeight="1" spans="1:10">
      <c r="A13" s="63" t="s">
        <v>21</v>
      </c>
      <c r="B13" s="64" t="s">
        <v>86</v>
      </c>
      <c r="C13" s="64" t="s">
        <v>87</v>
      </c>
      <c r="D13" s="65" t="s">
        <v>30</v>
      </c>
      <c r="E13" s="65" t="s">
        <v>46</v>
      </c>
      <c r="F13" s="66">
        <f>IF(E13="Done",VLOOKUP(H13,Params!$B$27:$C$29,2,FALSE)*VLOOKUP(I13,Params!$K$12:$N$18,4,FALSE),0)</f>
        <v>105</v>
      </c>
      <c r="G13" s="67" t="s">
        <v>88</v>
      </c>
      <c r="H13" s="67" t="s">
        <v>53</v>
      </c>
      <c r="I13" s="67" t="s">
        <v>66</v>
      </c>
      <c r="J13" s="68" t="str">
        <f>VLOOKUP(I13,Params!$K$12:$O$18,5,FALSE)</f>
        <v>14-15 fields OR 7 trans</v>
      </c>
    </row>
    <row r="14" ht="45" customHeight="1" spans="1:10">
      <c r="A14" s="63" t="s">
        <v>21</v>
      </c>
      <c r="B14" s="64" t="s">
        <v>89</v>
      </c>
      <c r="C14" s="64" t="s">
        <v>90</v>
      </c>
      <c r="D14" s="65" t="s">
        <v>26</v>
      </c>
      <c r="E14" s="65" t="s">
        <v>46</v>
      </c>
      <c r="F14" s="66">
        <f>IF(E14="Done",VLOOKUP(H14,Params!$B$27:$C$29,2,FALSE)*VLOOKUP(I14,Params!$K$12:$N$18,4,FALSE),0)</f>
        <v>30</v>
      </c>
      <c r="G14" s="67" t="s">
        <v>91</v>
      </c>
      <c r="H14" s="67" t="s">
        <v>53</v>
      </c>
      <c r="I14" s="67" t="s">
        <v>62</v>
      </c>
      <c r="J14" s="68" t="str">
        <f>VLOOKUP(I14,Params!$K$12:$O$18,5,FALSE)</f>
        <v>3-5 fields OR 2 trans</v>
      </c>
    </row>
    <row r="15" ht="45" customHeight="1" spans="1:10">
      <c r="A15" s="63" t="s">
        <v>21</v>
      </c>
      <c r="B15" s="64" t="s">
        <v>92</v>
      </c>
      <c r="C15" s="64" t="s">
        <v>93</v>
      </c>
      <c r="D15" s="65" t="s">
        <v>26</v>
      </c>
      <c r="E15" s="65" t="s">
        <v>46</v>
      </c>
      <c r="F15" s="66">
        <f>IF(E15="Done",VLOOKUP(H15,Params!$B$27:$C$29,2,FALSE)*VLOOKUP(I15,Params!$K$12:$N$18,4,FALSE),0)</f>
        <v>75</v>
      </c>
      <c r="G15" s="67" t="s">
        <v>94</v>
      </c>
      <c r="H15" s="67" t="s">
        <v>53</v>
      </c>
      <c r="I15" s="67" t="s">
        <v>73</v>
      </c>
      <c r="J15" s="68" t="str">
        <f>VLOOKUP(I15,Params!$K$12:$O$18,5,FALSE)</f>
        <v>10-11 fields OR 5 trans</v>
      </c>
    </row>
    <row r="16" ht="45" customHeight="1" spans="1:10">
      <c r="A16" s="63" t="s">
        <v>21</v>
      </c>
      <c r="B16" s="64" t="s">
        <v>95</v>
      </c>
      <c r="C16" s="64" t="s">
        <v>96</v>
      </c>
      <c r="D16" s="65" t="s">
        <v>32</v>
      </c>
      <c r="E16" s="65" t="s">
        <v>46</v>
      </c>
      <c r="F16" s="66">
        <f>IF(E16="Done",VLOOKUP(H16,Params!$B$27:$C$29,2,FALSE)*VLOOKUP(I16,Params!$K$12:$N$18,4,FALSE),0)</f>
        <v>60</v>
      </c>
      <c r="G16" s="67" t="s">
        <v>97</v>
      </c>
      <c r="H16" s="67" t="s">
        <v>53</v>
      </c>
      <c r="I16" s="67" t="s">
        <v>54</v>
      </c>
      <c r="J16" s="68" t="str">
        <f>VLOOKUP(I16,Params!$K$12:$O$18,5,FALSE)</f>
        <v>8-9 fields OR 4 trans</v>
      </c>
    </row>
    <row r="17" ht="45" customHeight="1" spans="1:10">
      <c r="A17" s="63" t="s">
        <v>21</v>
      </c>
      <c r="B17" s="64" t="s">
        <v>98</v>
      </c>
      <c r="C17" s="64" t="s">
        <v>99</v>
      </c>
      <c r="D17" s="65" t="s">
        <v>31</v>
      </c>
      <c r="E17" s="65" t="s">
        <v>46</v>
      </c>
      <c r="F17" s="66">
        <f>IF(E17="Done",VLOOKUP(H17,Params!$B$27:$C$29,2,FALSE)*VLOOKUP(I17,Params!$K$12:$N$18,4,FALSE),0)</f>
        <v>60</v>
      </c>
      <c r="G17" s="67" t="s">
        <v>100</v>
      </c>
      <c r="H17" s="67" t="s">
        <v>53</v>
      </c>
      <c r="I17" s="67" t="s">
        <v>54</v>
      </c>
      <c r="J17" s="68" t="str">
        <f>VLOOKUP(I17,Params!$K$12:$O$18,5,FALSE)</f>
        <v>8-9 fields OR 4 trans</v>
      </c>
    </row>
    <row r="18" ht="45" customHeight="1" spans="1:10">
      <c r="A18" s="63" t="s">
        <v>21</v>
      </c>
      <c r="B18" s="64" t="s">
        <v>101</v>
      </c>
      <c r="C18" s="64" t="s">
        <v>102</v>
      </c>
      <c r="D18" s="65" t="s">
        <v>30</v>
      </c>
      <c r="E18" s="65" t="s">
        <v>46</v>
      </c>
      <c r="F18" s="66">
        <f>IF(E18="Done",VLOOKUP(H18,Params!$B$27:$C$29,2,FALSE)*VLOOKUP(I18,Params!$K$12:$N$18,4,FALSE),0)</f>
        <v>112.5</v>
      </c>
      <c r="G18" s="67" t="s">
        <v>103</v>
      </c>
      <c r="H18" s="67" t="s">
        <v>48</v>
      </c>
      <c r="I18" s="67" t="s">
        <v>73</v>
      </c>
      <c r="J18" s="68" t="str">
        <f>VLOOKUP(I18,Params!$K$12:$O$18,5,FALSE)</f>
        <v>10-11 fields OR 5 trans</v>
      </c>
    </row>
  </sheetData>
  <autoFilter xmlns:etc="http://www.wps.cn/officeDocument/2017/etCustomData" ref="A1:C18" etc:filterBottomFollowUsedRange="0">
    <extLst/>
  </autoFilter>
  <dataValidations count="1">
    <dataValidation type="list" allowBlank="1" showInputMessage="1" showErrorMessage="1" sqref="E2:E5">
      <formula1>"To Do, Doing, Done, Cancelled"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5"/>
  <sheetViews>
    <sheetView showGridLines="0" zoomScale="85" zoomScaleNormal="85" workbookViewId="0">
      <selection activeCell="D8" sqref="D8:E8"/>
    </sheetView>
  </sheetViews>
  <sheetFormatPr defaultColWidth="9.07407407407407" defaultRowHeight="14.4"/>
  <cols>
    <col min="1" max="1" width="3.30555555555556" style="1" customWidth="1"/>
    <col min="2" max="2" width="23.1481481481481" style="1" customWidth="1"/>
    <col min="3" max="3" width="8.14814814814815" style="1" customWidth="1"/>
    <col min="4" max="4" width="10.1481481481481" style="1" customWidth="1"/>
    <col min="5" max="5" width="9.23148148148148" style="1" customWidth="1"/>
    <col min="6" max="6" width="9.07407407407407" style="1" customWidth="1"/>
    <col min="7" max="7" width="9.61111111111111" style="1" customWidth="1"/>
    <col min="8" max="12" width="9.07407407407407" style="1" customWidth="1"/>
    <col min="13" max="13" width="6.84259259259259" style="1" customWidth="1"/>
    <col min="14" max="14" width="6.46296296296296" style="1" customWidth="1"/>
    <col min="15" max="15" width="9.07407407407407" style="1" customWidth="1"/>
    <col min="16" max="16" width="18.2314814814815" style="1" customWidth="1"/>
    <col min="17" max="16384" width="9.07407407407407" style="1" customWidth="1"/>
  </cols>
  <sheetData>
    <row r="1" spans="2:16">
      <c r="B1" s="2" t="s">
        <v>104</v>
      </c>
      <c r="C1" s="3" t="s">
        <v>105</v>
      </c>
      <c r="D1" s="4" t="s">
        <v>106</v>
      </c>
      <c r="E1" s="5"/>
      <c r="F1" s="6"/>
      <c r="G1" s="3" t="s">
        <v>107</v>
      </c>
      <c r="H1" s="7" t="s">
        <v>5</v>
      </c>
      <c r="I1" s="5"/>
      <c r="J1" s="5"/>
      <c r="K1" s="5"/>
      <c r="L1" s="6"/>
    </row>
    <row r="2" spans="2:16">
      <c r="B2" s="8" t="s">
        <v>108</v>
      </c>
      <c r="C2" s="9">
        <v>4</v>
      </c>
      <c r="D2" s="9">
        <v>5</v>
      </c>
      <c r="E2" s="9">
        <v>6</v>
      </c>
      <c r="F2" s="9">
        <v>7</v>
      </c>
      <c r="G2" s="9">
        <v>8</v>
      </c>
      <c r="H2" s="10" t="s">
        <v>109</v>
      </c>
      <c r="I2" s="11"/>
      <c r="J2" s="11"/>
      <c r="K2" s="11"/>
      <c r="L2" s="12"/>
    </row>
    <row r="3" spans="2:16">
      <c r="B3" s="8" t="s">
        <v>110</v>
      </c>
      <c r="C3" s="13">
        <f>C2*1/3*90+C2*1/3*120+C2*1/3*150</f>
        <v>480</v>
      </c>
      <c r="D3" s="13">
        <f>D2*1/3*90+D2*1/3*120+D2*1/3*150</f>
        <v>600</v>
      </c>
      <c r="E3" s="13">
        <f>E2*1/3*90+E2*1/3*120+E2*1/3*150</f>
        <v>720</v>
      </c>
      <c r="F3" s="13">
        <f>F2*1/3*90+F2*1/3*120+F2*1/3*150</f>
        <v>840</v>
      </c>
      <c r="G3" s="13">
        <f>G2*1/3*90+G2*1/3*120+G2*1/3*150</f>
        <v>960</v>
      </c>
      <c r="H3" s="10" t="s">
        <v>111</v>
      </c>
      <c r="I3" s="11"/>
      <c r="J3" s="11"/>
      <c r="K3" s="11"/>
      <c r="L3" s="12"/>
    </row>
    <row r="4" spans="2:16">
      <c r="B4" s="8" t="s">
        <v>112</v>
      </c>
      <c r="C4" s="14">
        <v>0.5</v>
      </c>
      <c r="D4" s="14">
        <v>0.5</v>
      </c>
      <c r="E4" s="14">
        <v>0.75</v>
      </c>
      <c r="F4" s="14">
        <v>0.75</v>
      </c>
      <c r="G4" s="14">
        <v>0.75</v>
      </c>
      <c r="H4" s="10" t="s">
        <v>113</v>
      </c>
      <c r="I4" s="11"/>
      <c r="J4" s="11"/>
      <c r="K4" s="11"/>
      <c r="L4" s="12"/>
    </row>
    <row r="5" spans="2:16">
      <c r="B5" s="8" t="s">
        <v>114</v>
      </c>
      <c r="C5" s="13">
        <f>C3*C4</f>
        <v>240</v>
      </c>
      <c r="D5" s="13">
        <f>D3*D4</f>
        <v>300</v>
      </c>
      <c r="E5" s="13">
        <f>E3*E4</f>
        <v>540</v>
      </c>
      <c r="F5" s="13">
        <f>F3*F4</f>
        <v>630</v>
      </c>
      <c r="G5" s="13">
        <f>G3*G4</f>
        <v>720</v>
      </c>
      <c r="H5" s="10" t="s">
        <v>115</v>
      </c>
      <c r="I5" s="11"/>
      <c r="J5" s="11"/>
      <c r="K5" s="11"/>
      <c r="L5" s="12"/>
    </row>
    <row r="6" spans="2:16">
      <c r="B6" s="8" t="s">
        <v>116</v>
      </c>
      <c r="C6" s="15">
        <f>C5/660*10</f>
        <v>3.63636363636364</v>
      </c>
      <c r="D6" s="15">
        <f>D5/660*10</f>
        <v>4.54545454545454</v>
      </c>
      <c r="E6" s="15">
        <f>E5/660*10</f>
        <v>8.18181818181818</v>
      </c>
      <c r="F6" s="15">
        <f>F5/660*10</f>
        <v>9.54545454545455</v>
      </c>
      <c r="G6" s="15">
        <f>G5/660*10</f>
        <v>10.9090909090909</v>
      </c>
      <c r="H6" s="16">
        <v>0.7</v>
      </c>
      <c r="I6" s="17" t="s">
        <v>117</v>
      </c>
      <c r="J6" s="11"/>
      <c r="K6" s="11"/>
      <c r="L6" s="12"/>
    </row>
    <row r="7" ht="15" customHeight="1" spans="2:16">
      <c r="B7" s="18" t="s">
        <v>118</v>
      </c>
      <c r="C7" s="19">
        <v>6</v>
      </c>
      <c r="D7" s="19">
        <v>6</v>
      </c>
      <c r="E7" s="19">
        <v>7</v>
      </c>
      <c r="F7" s="19">
        <v>7</v>
      </c>
      <c r="G7" s="19">
        <v>8</v>
      </c>
      <c r="H7" s="20">
        <v>0.3</v>
      </c>
      <c r="I7" s="21" t="s">
        <v>119</v>
      </c>
      <c r="J7" s="22"/>
      <c r="K7" s="22"/>
      <c r="L7" s="23"/>
    </row>
    <row r="8" spans="2:16">
      <c r="B8" s="24" t="s">
        <v>120</v>
      </c>
      <c r="C8" s="25">
        <f>C6*$H$6+C7*$H$7</f>
        <v>4.34545454545455</v>
      </c>
      <c r="D8" s="25">
        <f>D6*$H$6+D7*$H$7</f>
        <v>4.98181818181818</v>
      </c>
      <c r="E8" s="25">
        <f>E6*$H$6+E7*$H$7</f>
        <v>7.82727272727273</v>
      </c>
      <c r="F8" s="25">
        <f>F6*$H$6+F7*$H$7</f>
        <v>8.78181818181818</v>
      </c>
      <c r="G8" s="25">
        <f>G6*$H$6+G7*$H$7</f>
        <v>10.0363636363636</v>
      </c>
      <c r="H8" s="25"/>
      <c r="I8" s="25"/>
    </row>
    <row r="9" spans="2:16">
      <c r="B9" s="26"/>
      <c r="C9" s="27"/>
      <c r="D9" s="27"/>
      <c r="E9" s="27"/>
      <c r="F9" s="27"/>
      <c r="G9" s="27"/>
      <c r="H9" s="27"/>
      <c r="I9" s="27"/>
    </row>
    <row r="10" ht="18.45" customHeight="1" spans="2:16">
      <c r="B10" s="28" t="s">
        <v>121</v>
      </c>
    </row>
    <row r="11" spans="2:16">
      <c r="B11" s="29" t="s">
        <v>122</v>
      </c>
      <c r="C11" s="30" t="s">
        <v>62</v>
      </c>
      <c r="D11" s="31" t="s">
        <v>58</v>
      </c>
      <c r="E11" s="31" t="s">
        <v>54</v>
      </c>
      <c r="F11" s="31" t="s">
        <v>73</v>
      </c>
      <c r="G11" s="31" t="s">
        <v>49</v>
      </c>
      <c r="H11" s="31" t="s">
        <v>66</v>
      </c>
      <c r="I11" s="31" t="s">
        <v>123</v>
      </c>
      <c r="K11" s="32" t="s">
        <v>124</v>
      </c>
      <c r="L11" s="32" t="s">
        <v>125</v>
      </c>
      <c r="M11" s="32" t="s">
        <v>126</v>
      </c>
      <c r="N11" s="32" t="s">
        <v>39</v>
      </c>
      <c r="O11" s="33" t="s">
        <v>5</v>
      </c>
      <c r="P11" s="12"/>
    </row>
    <row r="12" spans="2:16">
      <c r="B12" s="34" t="s">
        <v>127</v>
      </c>
      <c r="C12" s="13">
        <v>60</v>
      </c>
      <c r="D12" s="35">
        <v>90</v>
      </c>
      <c r="E12" s="35">
        <v>120</v>
      </c>
      <c r="F12" s="35">
        <v>150</v>
      </c>
      <c r="G12" s="35">
        <v>180</v>
      </c>
      <c r="H12" s="36">
        <v>210</v>
      </c>
      <c r="I12" s="37">
        <v>240</v>
      </c>
      <c r="K12" s="38" t="s">
        <v>62</v>
      </c>
      <c r="L12" s="93" t="s">
        <v>128</v>
      </c>
      <c r="M12" s="39">
        <v>2</v>
      </c>
      <c r="N12" s="39">
        <v>60</v>
      </c>
      <c r="O12" s="40" t="str">
        <f t="shared" ref="O12:O18" si="0">L12&amp;" fields OR "&amp;M12&amp;" trans"</f>
        <v>3-5 fields OR 2 trans</v>
      </c>
      <c r="P12" s="12"/>
    </row>
    <row r="13" spans="2:16">
      <c r="K13" s="38" t="s">
        <v>58</v>
      </c>
      <c r="L13" s="93" t="s">
        <v>129</v>
      </c>
      <c r="M13" s="39">
        <v>3</v>
      </c>
      <c r="N13" s="39">
        <v>90</v>
      </c>
      <c r="O13" s="40" t="str">
        <f t="shared" si="0"/>
        <v>6-7 fields OR 3 trans</v>
      </c>
      <c r="P13" s="12"/>
    </row>
    <row r="14" ht="18.45" customHeight="1" spans="2:16">
      <c r="B14" s="28" t="s">
        <v>130</v>
      </c>
      <c r="K14" s="38" t="s">
        <v>54</v>
      </c>
      <c r="L14" s="93" t="s">
        <v>131</v>
      </c>
      <c r="M14" s="39">
        <v>4</v>
      </c>
      <c r="N14" s="39">
        <v>120</v>
      </c>
      <c r="O14" s="40" t="str">
        <f t="shared" si="0"/>
        <v>8-9 fields OR 4 trans</v>
      </c>
      <c r="P14" s="12"/>
    </row>
    <row r="15" spans="2:16">
      <c r="B15" s="41" t="s">
        <v>132</v>
      </c>
      <c r="K15" s="38" t="s">
        <v>73</v>
      </c>
      <c r="L15" s="93" t="s">
        <v>133</v>
      </c>
      <c r="M15" s="39">
        <v>5</v>
      </c>
      <c r="N15" s="39">
        <v>150</v>
      </c>
      <c r="O15" s="40" t="str">
        <f t="shared" si="0"/>
        <v>10-11 fields OR 5 trans</v>
      </c>
      <c r="P15" s="12"/>
    </row>
    <row r="16" spans="2:16">
      <c r="B16" s="94" t="s">
        <v>134</v>
      </c>
      <c r="K16" s="38" t="s">
        <v>49</v>
      </c>
      <c r="L16" s="93" t="s">
        <v>135</v>
      </c>
      <c r="M16" s="39">
        <v>6</v>
      </c>
      <c r="N16" s="39">
        <v>180</v>
      </c>
      <c r="O16" s="40" t="str">
        <f t="shared" si="0"/>
        <v>12-13 fields OR 6 trans</v>
      </c>
      <c r="P16" s="12"/>
    </row>
    <row r="17" spans="2:16">
      <c r="B17" s="94" t="s">
        <v>136</v>
      </c>
      <c r="K17" s="38" t="s">
        <v>66</v>
      </c>
      <c r="L17" s="93" t="s">
        <v>137</v>
      </c>
      <c r="M17" s="39">
        <v>7</v>
      </c>
      <c r="N17" s="39">
        <v>210</v>
      </c>
      <c r="O17" s="40" t="str">
        <f t="shared" si="0"/>
        <v>14-15 fields OR 7 trans</v>
      </c>
      <c r="P17" s="12"/>
    </row>
    <row r="18" spans="2:16">
      <c r="B18" s="41" t="s">
        <v>138</v>
      </c>
      <c r="K18" s="38" t="s">
        <v>123</v>
      </c>
      <c r="L18" s="39" t="s">
        <v>139</v>
      </c>
      <c r="M18" s="39" t="s">
        <v>140</v>
      </c>
      <c r="N18" s="39">
        <v>240</v>
      </c>
      <c r="O18" s="40" t="str">
        <f t="shared" si="0"/>
        <v>&gt;15 fields OR &gt;7 trans</v>
      </c>
      <c r="P18" s="12"/>
    </row>
    <row r="19" spans="2:16">
      <c r="B19" s="41" t="s">
        <v>141</v>
      </c>
      <c r="K19" s="1" t="s">
        <v>142</v>
      </c>
    </row>
    <row r="20" spans="2:16">
      <c r="B20" s="42" t="s">
        <v>122</v>
      </c>
      <c r="C20" s="30" t="s">
        <v>62</v>
      </c>
      <c r="D20" s="31" t="s">
        <v>58</v>
      </c>
      <c r="E20" s="31" t="s">
        <v>54</v>
      </c>
      <c r="F20" s="31" t="s">
        <v>73</v>
      </c>
      <c r="G20" s="31" t="s">
        <v>49</v>
      </c>
      <c r="H20" s="31" t="s">
        <v>66</v>
      </c>
      <c r="I20" s="31" t="s">
        <v>123</v>
      </c>
    </row>
    <row r="21" spans="2:16">
      <c r="B21" s="43" t="s">
        <v>143</v>
      </c>
      <c r="C21" s="39">
        <v>2</v>
      </c>
      <c r="D21" s="39">
        <v>3</v>
      </c>
      <c r="E21" s="39">
        <v>4</v>
      </c>
      <c r="F21" s="39">
        <v>5</v>
      </c>
      <c r="G21" s="39">
        <v>6</v>
      </c>
      <c r="H21" s="39">
        <v>7</v>
      </c>
      <c r="I21" s="39" t="s">
        <v>140</v>
      </c>
    </row>
    <row r="22" spans="2:16">
      <c r="B22" s="44"/>
      <c r="C22" s="45" t="s">
        <v>144</v>
      </c>
      <c r="D22" s="11"/>
      <c r="E22" s="11"/>
      <c r="F22" s="11"/>
      <c r="G22" s="11"/>
      <c r="H22" s="11"/>
      <c r="I22" s="12"/>
    </row>
    <row r="23" spans="2:16">
      <c r="B23" s="46" t="s">
        <v>145</v>
      </c>
      <c r="C23" s="95" t="s">
        <v>128</v>
      </c>
      <c r="D23" s="96" t="s">
        <v>129</v>
      </c>
      <c r="E23" s="95" t="s">
        <v>131</v>
      </c>
      <c r="F23" s="95" t="s">
        <v>133</v>
      </c>
      <c r="G23" s="95" t="s">
        <v>135</v>
      </c>
      <c r="H23" s="95" t="s">
        <v>137</v>
      </c>
      <c r="I23" s="95" t="s">
        <v>139</v>
      </c>
    </row>
    <row r="25" ht="18.45" customHeight="1" spans="2:16">
      <c r="B25" s="28" t="s">
        <v>146</v>
      </c>
    </row>
    <row r="26" spans="2:16">
      <c r="B26" s="42" t="s">
        <v>124</v>
      </c>
      <c r="C26" s="30" t="s">
        <v>147</v>
      </c>
      <c r="D26" s="48" t="s">
        <v>5</v>
      </c>
      <c r="E26" s="11"/>
      <c r="F26" s="11"/>
      <c r="G26" s="11"/>
      <c r="H26" s="11"/>
      <c r="I26" s="11"/>
      <c r="J26" s="11"/>
      <c r="K26" s="12"/>
    </row>
    <row r="27" spans="2:16">
      <c r="B27" s="49" t="s">
        <v>53</v>
      </c>
      <c r="C27" s="50">
        <v>0.5</v>
      </c>
      <c r="D27" s="40" t="s">
        <v>148</v>
      </c>
      <c r="E27" s="11"/>
      <c r="F27" s="11"/>
      <c r="G27" s="11"/>
      <c r="H27" s="11"/>
      <c r="I27" s="11"/>
      <c r="J27" s="11"/>
      <c r="K27" s="12"/>
    </row>
    <row r="28" spans="2:16">
      <c r="B28" s="49" t="s">
        <v>48</v>
      </c>
      <c r="C28" s="50">
        <v>0.75</v>
      </c>
      <c r="D28" s="40" t="s">
        <v>149</v>
      </c>
      <c r="E28" s="11"/>
      <c r="F28" s="11"/>
      <c r="G28" s="11"/>
      <c r="H28" s="11"/>
      <c r="I28" s="11"/>
      <c r="J28" s="11"/>
      <c r="K28" s="12"/>
    </row>
    <row r="29" ht="25.95" customHeight="1" spans="2:16">
      <c r="B29" s="49" t="s">
        <v>150</v>
      </c>
      <c r="C29" s="50">
        <v>1</v>
      </c>
      <c r="D29" s="51" t="s">
        <v>151</v>
      </c>
      <c r="E29" s="11"/>
      <c r="F29" s="11"/>
      <c r="G29" s="11"/>
      <c r="H29" s="11"/>
      <c r="I29" s="11"/>
      <c r="J29" s="11"/>
      <c r="K29" s="12"/>
    </row>
    <row r="31" ht="18.45" customHeight="1" spans="2:16">
      <c r="B31" s="28" t="s">
        <v>152</v>
      </c>
    </row>
    <row r="32" spans="2:16">
      <c r="B32" s="52" t="s">
        <v>153</v>
      </c>
      <c r="K32" s="52" t="s">
        <v>154</v>
      </c>
    </row>
    <row r="45" spans="2:2">
      <c r="B45" s="52" t="s">
        <v>155</v>
      </c>
    </row>
  </sheetData>
  <sheetProtection password="B05B" sheet="1" objects="1" scenarios="1"/>
  <mergeCells count="22">
    <mergeCell ref="D1:F1"/>
    <mergeCell ref="H1:L1"/>
    <mergeCell ref="H2:L2"/>
    <mergeCell ref="H3:L3"/>
    <mergeCell ref="H4:L4"/>
    <mergeCell ref="H5:L5"/>
    <mergeCell ref="I6:L6"/>
    <mergeCell ref="I7:L7"/>
    <mergeCell ref="O11:P11"/>
    <mergeCell ref="O12:P12"/>
    <mergeCell ref="O13:P13"/>
    <mergeCell ref="O14:P14"/>
    <mergeCell ref="O15:P15"/>
    <mergeCell ref="O16:P16"/>
    <mergeCell ref="O17:P17"/>
    <mergeCell ref="O18:P18"/>
    <mergeCell ref="C22:I22"/>
    <mergeCell ref="D26:K26"/>
    <mergeCell ref="D27:K27"/>
    <mergeCell ref="D28:K28"/>
    <mergeCell ref="D29:K29"/>
    <mergeCell ref="B21:B22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</vt:lpstr>
      <vt:lpstr>Team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Thoa (FHO.PID)</dc:creator>
  <cp:lastModifiedBy>admin</cp:lastModifiedBy>
  <dcterms:created xsi:type="dcterms:W3CDTF">2021-04-10T11:59:00Z</dcterms:created>
  <dcterms:modified xsi:type="dcterms:W3CDTF">2026-07-26T13:29:34Z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04859850BEF34F96A0F56D74D01EE4FE_12</vt:lpwstr>
  </property>
  <property fmtid="{D5CDD505-2E9C-101B-9397-08002B2CF9AE}" pid="4" name="CalculationRule">
    <vt:i4>0</vt:i4>
  </property>
</Properties>
</file>